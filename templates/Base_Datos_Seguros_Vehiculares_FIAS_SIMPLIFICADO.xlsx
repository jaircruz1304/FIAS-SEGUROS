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4c2d45569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3a45142f911140f4"/>
    <x:sheet xmlns:r="http://schemas.openxmlformats.org/officeDocument/2006/relationships" name="Instrucciones" sheetId="2" r:id="Rd33d4b66dfb8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3"/>
      <x:color rgb="FF00845C"/>
      <x:name val="Carlito"/>
    </x:font>
    <x:font>
      <x:b/>
      <x:sz val="11"/>
      <x:color rgb="FF00845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845C"/>
      </x:patternFill>
    </x:fill>
    <x:fill>
      <x:patternFill patternType="solid">
        <x:fgColor rgb="FFE8F5E9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49254119642d0" /><Relationship Type="http://schemas.openxmlformats.org/officeDocument/2006/relationships/theme" Target="/xl/theme/theme1.xml" Id="Rd49e3448bc9a4fe1" /><Relationship Type="http://schemas.openxmlformats.org/officeDocument/2006/relationships/sharedStrings" Target="/xl/sharedStrings.xml" Id="R92c6cb9df6bb43ae" /><Relationship Type="http://schemas.openxmlformats.org/officeDocument/2006/relationships/worksheet" Target="/xl/worksheets/sheet1.xml" Id="R3a45142f911140f4" /><Relationship Type="http://schemas.openxmlformats.org/officeDocument/2006/relationships/worksheet" Target="/xl/worksheets/sheet2.xml" Id="Rd33d4b66dfb8438a" /></Relationships>
</file>

<file path=xl/tables/table1.xml><?xml version="1.0" encoding="utf-8"?>
<x:table xmlns:x="http://schemas.openxmlformats.org/spreadsheetml/2006/main" id="1" name="tblControlSeguros" displayName="tblControlSeguros" ref="A1:Z20" headerRowCount="1">
  <x:tableColumns count="26">
    <x:tableColumn id="1" name="Nro."/>
    <x:tableColumn id="2" name="Programa / Reserva / Proyecto"/>
    <x:tableColumn id="3" name="Placa"/>
    <x:tableColumn id="4" name="Categoría"/>
    <x:tableColumn id="5" name="Marca"/>
    <x:tableColumn id="6" name="Modelo"/>
    <x:tableColumn id="7" name="Año"/>
    <x:tableColumn id="8" name="Color"/>
    <x:tableColumn id="9" name="Póliza"/>
    <x:tableColumn id="10" name="Póliza número"/>
    <x:tableColumn id="11" name="Aseguradora"/>
    <x:tableColumn id="12" name="Vigencia desde"/>
    <x:tableColumn id="13" name="Vigencia hasta"/>
    <x:tableColumn id="14" name="Estado"/>
    <x:tableColumn id="15" name="Días restantes"/>
    <x:tableColumn id="16" name="Valor asegurado"/>
    <x:tableColumn id="17" name="Valor accesorios"/>
    <x:tableColumn id="18" name="Total asegurado"/>
    <x:tableColumn id="19" name="Total pagado"/>
    <x:tableColumn id="20" name="Deducible"/>
    <x:tableColumn id="21" name="Asistencia"/>
    <x:tableColumn id="22" name="Responsable / custodio"/>
    <x:tableColumn id="23" name="Ubicación"/>
    <x:tableColumn id="24" name="Expediente / PDF"/>
    <x:tableColumn id="25" name="Observaciones"/>
    <x:tableColumn id="26" name="Mostrar we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e2e214b2474fa7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11" hidden="0" customWidth="1"/>
    <x:col min="4" max="4" width="14" hidden="0" customWidth="1"/>
    <x:col min="5" max="5" width="14" hidden="0" customWidth="1"/>
    <x:col min="6" max="6" width="34" hidden="0" customWidth="1"/>
    <x:col min="7" max="7" width="9" hidden="0" customWidth="1"/>
    <x:col min="8" max="8" width="12" hidden="0" customWidth="1"/>
    <x:col min="9" max="9" width="14" hidden="0" customWidth="1"/>
    <x:col min="10" max="10" width="14" hidden="0" customWidth="1"/>
    <x:col min="11" max="11" width="24" hidden="0" customWidth="1"/>
    <x:col min="12" max="12" width="14" hidden="0" customWidth="1"/>
    <x:col min="13" max="13" width="14" hidden="0" customWidth="1"/>
    <x:col min="14" max="14" width="13" hidden="0" customWidth="1"/>
    <x:col min="15" max="15" width="12" hidden="0" customWidth="1"/>
    <x:col min="16" max="16" width="16" hidden="0" customWidth="1"/>
    <x:col min="17" max="17" width="16" hidden="0" customWidth="1"/>
    <x:col min="18" max="18" width="16" hidden="0" customWidth="1"/>
    <x:col min="19" max="19" width="14" hidden="0" customWidth="1"/>
    <x:col min="20" max="20" width="38" hidden="0" customWidth="1"/>
    <x:col min="21" max="21" width="17" hidden="0" customWidth="1"/>
    <x:col min="22" max="22" width="22" hidden="0" customWidth="1"/>
    <x:col min="23" max="23" width="32" hidden="0" customWidth="1"/>
    <x:col min="24" max="24" width="26" hidden="0" customWidth="1"/>
    <x:col min="25" max="25" width="28" hidden="0" customWidth="1"/>
    <x:col min="26" max="26" width="12" hidden="0" customWidth="1"/>
  </x:cols>
  <x:sheetData>
    <x:row r="1" ht="42" customHeight="1">
      <x:c r="A1" s="6" t="str">
        <x:v>Nro.</x:v>
      </x:c>
      <x:c r="B1" s="6" t="str">
        <x:v>Programa / Reserva / Proyecto</x:v>
      </x:c>
      <x:c r="C1" s="6" t="str">
        <x:v>Placa</x:v>
      </x:c>
      <x:c r="D1" s="6" t="str">
        <x:v>Categoría</x:v>
      </x:c>
      <x:c r="E1" s="6" t="str">
        <x:v>Marca</x:v>
      </x:c>
      <x:c r="F1" s="6" t="str">
        <x:v>Modelo</x:v>
      </x:c>
      <x:c r="G1" s="6" t="str">
        <x:v>Año</x:v>
      </x:c>
      <x:c r="H1" s="6" t="str">
        <x:v>Color</x:v>
      </x:c>
      <x:c r="I1" s="6" t="str">
        <x:v>Póliza</x:v>
      </x:c>
      <x:c r="J1" s="6" t="str">
        <x:v>Póliza número</x:v>
      </x:c>
      <x:c r="K1" s="6" t="str">
        <x:v>Aseguradora</x:v>
      </x:c>
      <x:c r="L1" s="6" t="str">
        <x:v>Vigencia desde</x:v>
      </x:c>
      <x:c r="M1" s="6" t="str">
        <x:v>Vigencia hasta</x:v>
      </x:c>
      <x:c r="N1" s="6" t="str">
        <x:v>Estado</x:v>
      </x:c>
      <x:c r="O1" s="6" t="str">
        <x:v>Días restantes</x:v>
      </x:c>
      <x:c r="P1" s="6" t="str">
        <x:v>Valor asegurado</x:v>
      </x:c>
      <x:c r="Q1" s="6" t="str">
        <x:v>Valor accesorios</x:v>
      </x:c>
      <x:c r="R1" s="6" t="str">
        <x:v>Total asegurado</x:v>
      </x:c>
      <x:c r="S1" s="6" t="str">
        <x:v>Total pagado</x:v>
      </x:c>
      <x:c r="T1" s="6" t="str">
        <x:v>Deducible</x:v>
      </x:c>
      <x:c r="U1" s="6" t="str">
        <x:v>Asistencia</x:v>
      </x:c>
      <x:c r="V1" s="6" t="str">
        <x:v>Responsable / custodio</x:v>
      </x:c>
      <x:c r="W1" s="6" t="str">
        <x:v>Ubicación</x:v>
      </x:c>
      <x:c r="X1" s="6" t="str">
        <x:v>Expediente / PDF</x:v>
      </x:c>
      <x:c r="Y1" s="6" t="str">
        <x:v>Observaciones</x:v>
      </x:c>
      <x:c r="Z1" s="6" t="str">
        <x:v>Mostrar web</x:v>
      </x:c>
    </x:row>
    <x:row r="2">
      <x:c r="A2" s="18" t="n">
        <x:v>1</x:v>
      </x:c>
      <x:c r="B2" s="12" t="str">
        <x:v>REFUGIO DE VIDA SILVESTRE PACOCHE</x:v>
      </x:c>
      <x:c r="C2" s="12" t="str">
        <x:v>JH265K</x:v>
      </x:c>
      <x:c r="D2" s="12" t="str">
        <x:v>Moto</x:v>
      </x:c>
      <x:c r="E2" s="12" t="str">
        <x:v>HONDA</x:v>
      </x:c>
      <x:c r="F2" s="12" t="str">
        <x:v>XR190L</x:v>
      </x:c>
      <x:c r="G2" s="18" t="n">
        <x:v>2021</x:v>
      </x:c>
      <x:c r="H2" s="12" t="str">
        <x:v>ROJO</x:v>
      </x:c>
      <x:c r="I2" s="12" t="str">
        <x:v>VO-0201232</x:v>
      </x:c>
      <x:c r="J2" s="12" t="str">
        <x:v>201232</x:v>
      </x:c>
      <x:c r="K2" s="12" t="str">
        <x:v>Aseguradora del Sur C.A.</x:v>
      </x:c>
      <x:c r="L2" s="14" t="n">
        <x:v>46023</x:v>
      </x:c>
      <x:c r="M2" s="14" t="n">
        <x:v>46388</x:v>
      </x:c>
      <x:c r="N2" s="12" t="str">
        <x:v>VIGENTE</x:v>
      </x:c>
      <x:c r="O2" s="18" t="n">
        <x:v>185</x:v>
      </x:c>
      <x:c r="P2" s="16" t="n">
        <x:v>3000</x:v>
      </x:c>
      <x:c r="Q2" s="16" t="n">
        <x:v>0</x:v>
      </x:c>
      <x:c r="R2" s="16" t="n">
        <x:v>3000</x:v>
      </x:c>
      <x:c r="S2" s="16" t="n">
        <x:v>359.95</x:v>
      </x:c>
      <x:c r="T2" s="12" t="str">
        <x:v>TODO RIESGO · 20% valor del siniestro, mínimo USD $200,00</x:v>
      </x:c>
      <x:c r="U2" s="12" t="str">
        <x:v>099 555 3333</x:v>
      </x:c>
      <x:c r="V2" s="12" t="str"/>
      <x:c r="W2" s="12" t="str">
        <x:v>REFUGIO DE VIDA SILVESTRE PACOCHE</x:v>
      </x:c>
      <x:c r="X2" s="12" t="str">
        <x:v>9 FAP VH PACOCHE 201232.pdf</x:v>
      </x:c>
      <x:c r="Y2" s="12" t="str"/>
      <x:c r="Z2" s="12" t="str">
        <x:v>SI</x:v>
      </x:c>
    </x:row>
    <x:row r="3">
      <x:c r="A3" s="18" t="n">
        <x:v>2</x:v>
      </x:c>
      <x:c r="B3" s="12" t="str">
        <x:v>REFUGIO DE VIDA SILVESTRE PACOCHE</x:v>
      </x:c>
      <x:c r="C3" s="12" t="str">
        <x:v>JH264K</x:v>
      </x:c>
      <x:c r="D3" s="12" t="str">
        <x:v>Moto</x:v>
      </x:c>
      <x:c r="E3" s="12" t="str">
        <x:v>HONDA</x:v>
      </x:c>
      <x:c r="F3" s="12" t="str">
        <x:v>XR190L</x:v>
      </x:c>
      <x:c r="G3" s="18" t="n">
        <x:v>2021</x:v>
      </x:c>
      <x:c r="H3" s="12" t="str">
        <x:v>ROJA</x:v>
      </x:c>
      <x:c r="I3" s="12" t="str">
        <x:v>VO-0201232</x:v>
      </x:c>
      <x:c r="J3" s="12" t="str">
        <x:v>201232</x:v>
      </x:c>
      <x:c r="K3" s="12" t="str">
        <x:v>Aseguradora del Sur C.A.</x:v>
      </x:c>
      <x:c r="L3" s="14" t="n">
        <x:v>46023</x:v>
      </x:c>
      <x:c r="M3" s="14" t="n">
        <x:v>46388</x:v>
      </x:c>
      <x:c r="N3" s="12" t="str">
        <x:v>VIGENTE</x:v>
      </x:c>
      <x:c r="O3" s="18" t="n">
        <x:v>185</x:v>
      </x:c>
      <x:c r="P3" s="16" t="n">
        <x:v>3000</x:v>
      </x:c>
      <x:c r="Q3" s="16" t="n">
        <x:v>0</x:v>
      </x:c>
      <x:c r="R3" s="16" t="n">
        <x:v>3000</x:v>
      </x:c>
      <x:c r="S3" s="16" t="n">
        <x:v>359.95</x:v>
      </x:c>
      <x:c r="T3" s="12" t="str">
        <x:v>TODO RIESGO · 20% valor del siniestro, mínimo USD $200,00</x:v>
      </x:c>
      <x:c r="U3" s="12" t="str">
        <x:v>099 555 3333</x:v>
      </x:c>
      <x:c r="V3" s="12" t="str"/>
      <x:c r="W3" s="12" t="str">
        <x:v>REFUGIO DE VIDA SILVESTRE PACOCHE</x:v>
      </x:c>
      <x:c r="X3" s="12" t="str">
        <x:v>9 FAP VH PACOCHE 201232.pdf</x:v>
      </x:c>
      <x:c r="Y3" s="12" t="str"/>
      <x:c r="Z3" s="12" t="str">
        <x:v>SI</x:v>
      </x:c>
    </x:row>
    <x:row r="4">
      <x:c r="A4" s="18" t="n">
        <x:v>3</x:v>
      </x:c>
      <x:c r="B4" s="12" t="str">
        <x:v>PARQUE NACIONAL LLANGANATES</x:v>
      </x:c>
      <x:c r="C4" s="12" t="str">
        <x:v>JW414N</x:v>
      </x:c>
      <x:c r="D4" s="12" t="str">
        <x:v>Moto</x:v>
      </x:c>
      <x:c r="E4" s="12" t="str">
        <x:v>HONDA</x:v>
      </x:c>
      <x:c r="F4" s="12" t="str">
        <x:v>XR190L</x:v>
      </x:c>
      <x:c r="G4" s="18" t="n">
        <x:v>2022</x:v>
      </x:c>
      <x:c r="H4" s="12" t="str">
        <x:v>ROJO</x:v>
      </x:c>
      <x:c r="I4" s="12" t="str">
        <x:v>VO-0201234</x:v>
      </x:c>
      <x:c r="J4" s="12" t="str">
        <x:v>201234</x:v>
      </x:c>
      <x:c r="K4" s="12" t="str">
        <x:v>Aseguradora del Sur C.A.</x:v>
      </x:c>
      <x:c r="L4" s="14" t="n">
        <x:v>46023</x:v>
      </x:c>
      <x:c r="M4" s="14" t="n">
        <x:v>46388</x:v>
      </x:c>
      <x:c r="N4" s="12" t="str">
        <x:v>VIGENTE</x:v>
      </x:c>
      <x:c r="O4" s="18" t="n">
        <x:v>185</x:v>
      </x:c>
      <x:c r="P4" s="16" t="n">
        <x:v>3000</x:v>
      </x:c>
      <x:c r="Q4" s="16" t="n">
        <x:v>90</x:v>
      </x:c>
      <x:c r="R4" s="16" t="n">
        <x:v>3090</x:v>
      </x:c>
      <x:c r="S4" s="16" t="n">
        <x:v>539.35</x:v>
      </x:c>
      <x:c r="T4" s="12" t="str">
        <x:v>TODO RIESGO · 20% valor del siniestro, mínimo USD $200,00</x:v>
      </x:c>
      <x:c r="U4" s="12" t="str">
        <x:v>099 555 3333</x:v>
      </x:c>
      <x:c r="V4" s="12" t="str"/>
      <x:c r="W4" s="12" t="str">
        <x:v>PARQUE NACIONAL LLANGANATES</x:v>
      </x:c>
      <x:c r="X4" s="12" t="str">
        <x:v>2 FAP LLANGANATES 201234.pdf</x:v>
      </x:c>
      <x:c r="Y4" s="12" t="str"/>
      <x:c r="Z4" s="12" t="str">
        <x:v>SI</x:v>
      </x:c>
    </x:row>
    <x:row r="5">
      <x:c r="A5" s="18" t="n">
        <x:v>4</x:v>
      </x:c>
      <x:c r="B5" s="12" t="str">
        <x:v>PARQUE NACIONAL LLANGANATES</x:v>
      </x:c>
      <x:c r="C5" s="12" t="str">
        <x:v>JW472N</x:v>
      </x:c>
      <x:c r="D5" s="12" t="str">
        <x:v>Moto</x:v>
      </x:c>
      <x:c r="E5" s="12" t="str">
        <x:v>HONDA</x:v>
      </x:c>
      <x:c r="F5" s="12" t="str">
        <x:v>XR190L</x:v>
      </x:c>
      <x:c r="G5" s="18" t="n">
        <x:v>2022</x:v>
      </x:c>
      <x:c r="H5" s="12" t="str">
        <x:v>ROJO</x:v>
      </x:c>
      <x:c r="I5" s="12" t="str">
        <x:v>VO-0201234</x:v>
      </x:c>
      <x:c r="J5" s="12" t="str">
        <x:v>201234</x:v>
      </x:c>
      <x:c r="K5" s="12" t="str">
        <x:v>Aseguradora del Sur C.A.</x:v>
      </x:c>
      <x:c r="L5" s="14" t="n">
        <x:v>46023</x:v>
      </x:c>
      <x:c r="M5" s="14" t="n">
        <x:v>46388</x:v>
      </x:c>
      <x:c r="N5" s="12" t="str">
        <x:v>VIGENTE</x:v>
      </x:c>
      <x:c r="O5" s="18" t="n">
        <x:v>185</x:v>
      </x:c>
      <x:c r="P5" s="16" t="n">
        <x:v>3000</x:v>
      </x:c>
      <x:c r="Q5" s="16" t="n">
        <x:v>90</x:v>
      </x:c>
      <x:c r="R5" s="16" t="n">
        <x:v>3090</x:v>
      </x:c>
      <x:c r="S5" s="16" t="n">
        <x:v>539.35</x:v>
      </x:c>
      <x:c r="T5" s="12" t="str">
        <x:v>TODO RIESGO · 20% valor del siniestro, mínimo USD $200,00 · 3</x:v>
      </x:c>
      <x:c r="U5" s="12" t="str">
        <x:v>099 555 3333</x:v>
      </x:c>
      <x:c r="V5" s="12" t="str"/>
      <x:c r="W5" s="12" t="str">
        <x:v>PARQUE NACIONAL LLANGANATES</x:v>
      </x:c>
      <x:c r="X5" s="12" t="str">
        <x:v>2 FAP LLANGANATES 201234.pdf</x:v>
      </x:c>
      <x:c r="Y5" s="12" t="str"/>
      <x:c r="Z5" s="12" t="str">
        <x:v>SI</x:v>
      </x:c>
    </x:row>
    <x:row r="6">
      <x:c r="A6" s="18" t="n">
        <x:v>5</x:v>
      </x:c>
      <x:c r="B6" s="12" t="str">
        <x:v>PARQUE NACIONAL LLANGANATES</x:v>
      </x:c>
      <x:c r="C6" s="12" t="str">
        <x:v>JW473N</x:v>
      </x:c>
      <x:c r="D6" s="12" t="str">
        <x:v>Moto</x:v>
      </x:c>
      <x:c r="E6" s="12" t="str">
        <x:v>HONDA</x:v>
      </x:c>
      <x:c r="F6" s="12" t="str">
        <x:v>XR190L</x:v>
      </x:c>
      <x:c r="G6" s="18" t="n">
        <x:v>2022</x:v>
      </x:c>
      <x:c r="H6" s="12" t="str">
        <x:v>ROJO</x:v>
      </x:c>
      <x:c r="I6" s="12" t="str">
        <x:v>VO-0201234</x:v>
      </x:c>
      <x:c r="J6" s="12" t="str">
        <x:v>201234</x:v>
      </x:c>
      <x:c r="K6" s="12" t="str">
        <x:v>Aseguradora del Sur C.A.</x:v>
      </x:c>
      <x:c r="L6" s="14" t="n">
        <x:v>46023</x:v>
      </x:c>
      <x:c r="M6" s="14" t="n">
        <x:v>46388</x:v>
      </x:c>
      <x:c r="N6" s="12" t="str">
        <x:v>VIGENTE</x:v>
      </x:c>
      <x:c r="O6" s="18" t="n">
        <x:v>185</x:v>
      </x:c>
      <x:c r="P6" s="16" t="n">
        <x:v>3000</x:v>
      </x:c>
      <x:c r="Q6" s="16" t="n">
        <x:v>90</x:v>
      </x:c>
      <x:c r="R6" s="16" t="n">
        <x:v>3090</x:v>
      </x:c>
      <x:c r="S6" s="16" t="n">
        <x:v>539.35</x:v>
      </x:c>
      <x:c r="T6" s="12" t="str">
        <x:v>TODO RIESGO · 3</x:v>
      </x:c>
      <x:c r="U6" s="12" t="str">
        <x:v>099 555 3333</x:v>
      </x:c>
      <x:c r="V6" s="12" t="str"/>
      <x:c r="W6" s="12" t="str">
        <x:v>PARQUE NACIONAL LLANGANATES</x:v>
      </x:c>
      <x:c r="X6" s="12" t="str">
        <x:v>2 FAP LLANGANATES 201234.pdf</x:v>
      </x:c>
      <x:c r="Y6" s="12" t="str"/>
      <x:c r="Z6" s="12" t="str">
        <x:v>SI</x:v>
      </x:c>
    </x:row>
    <x:row r="7">
      <x:c r="A7" s="18" t="n">
        <x:v>6</x:v>
      </x:c>
      <x:c r="B7" s="12" t="str">
        <x:v>RESERVA MARINA GALERAS SAN FRANCISCO</x:v>
      </x:c>
      <x:c r="C7" s="12" t="str">
        <x:v>JS836T</x:v>
      </x:c>
      <x:c r="D7" s="12" t="str">
        <x:v>Cuadrón</x:v>
      </x:c>
      <x:c r="E7" s="12" t="str">
        <x:v>HONDA</x:v>
      </x:c>
      <x:c r="F7" s="12" t="str">
        <x:v>SXS520M2</x:v>
      </x:c>
      <x:c r="G7" s="18" t="n">
        <x:v>2022</x:v>
      </x:c>
      <x:c r="H7" s="12" t="str">
        <x:v>ROJO</x:v>
      </x:c>
      <x:c r="I7" s="12" t="str">
        <x:v>VO-0201248</x:v>
      </x:c>
      <x:c r="J7" s="12" t="str">
        <x:v>201248</x:v>
      </x:c>
      <x:c r="K7" s="12" t="str">
        <x:v>Aseguradora del Sur C.A.</x:v>
      </x:c>
      <x:c r="L7" s="14" t="n">
        <x:v>46023</x:v>
      </x:c>
      <x:c r="M7" s="14" t="n">
        <x:v>46388</x:v>
      </x:c>
      <x:c r="N7" s="12" t="str">
        <x:v>VIGENTE</x:v>
      </x:c>
      <x:c r="O7" s="18" t="n">
        <x:v>185</x:v>
      </x:c>
      <x:c r="P7" s="16" t="n">
        <x:v>17000</x:v>
      </x:c>
      <x:c r="Q7" s="16" t="n">
        <x:v>0</x:v>
      </x:c>
      <x:c r="R7" s="16" t="n">
        <x:v>17000</x:v>
      </x:c>
      <x:c r="S7" s="16" t="n">
        <x:v>816.73</x:v>
      </x:c>
      <x:c r="T7" s="12" t="str">
        <x:v>Pérdida parcial por choque o robo: · 20% valor del siniestro, 2% v/a, mínimo US $ 200,00 (EL MAYOR DE LOS TRES) · Perdida total por choque o robo: · 25% del valor asegurado</x:v>
      </x:c>
      <x:c r="U7" s="12" t="str">
        <x:v>099 555 3333</x:v>
      </x:c>
      <x:c r="V7" s="12" t="str"/>
      <x:c r="W7" s="12" t="str">
        <x:v>RESERVA MARINA GALERAS SAN FRANCISCO</x:v>
      </x:c>
      <x:c r="X7" s="12" t="str">
        <x:v>11 FAP SAN FRANCISCO MOTOS 201248.pdf</x:v>
      </x:c>
      <x:c r="Y7" s="12" t="str"/>
      <x:c r="Z7" s="12" t="str">
        <x:v>SI</x:v>
      </x:c>
    </x:row>
    <x:row r="8">
      <x:c r="A8" s="18" t="n">
        <x:v>7</x:v>
      </x:c>
      <x:c r="B8" s="12" t="str">
        <x:v>REFUGIO DE VIDA SILVESTRE EL ZARZA</x:v>
      </x:c>
      <x:c r="C8" s="12" t="str">
        <x:v>JG997V</x:v>
      </x:c>
      <x:c r="D8" s="12" t="str">
        <x:v>Moto</x:v>
      </x:c>
      <x:c r="E8" s="12" t="str">
        <x:v>HONDA</x:v>
      </x:c>
      <x:c r="F8" s="12" t="str">
        <x:v>XR190L</x:v>
      </x:c>
      <x:c r="G8" s="18" t="n">
        <x:v>2022</x:v>
      </x:c>
      <x:c r="H8" s="12" t="str">
        <x:v>BLANCO</x:v>
      </x:c>
      <x:c r="I8" s="12" t="str">
        <x:v>VO-0201266</x:v>
      </x:c>
      <x:c r="J8" s="12" t="str">
        <x:v>201266</x:v>
      </x:c>
      <x:c r="K8" s="12" t="str">
        <x:v>Aseguradora del Sur C.A.</x:v>
      </x:c>
      <x:c r="L8" s="14" t="n">
        <x:v>46023</x:v>
      </x:c>
      <x:c r="M8" s="14" t="n">
        <x:v>46388</x:v>
      </x:c>
      <x:c r="N8" s="12" t="str">
        <x:v>VIGENTE</x:v>
      </x:c>
      <x:c r="O8" s="18" t="n">
        <x:v>185</x:v>
      </x:c>
      <x:c r="P8" s="16" t="n">
        <x:v>3000</x:v>
      </x:c>
      <x:c r="Q8" s="16" t="n">
        <x:v>0</x:v>
      </x:c>
      <x:c r="R8" s="16" t="n">
        <x:v>3000</x:v>
      </x:c>
      <x:c r="S8" s="16" t="n">
        <x:v>539.35</x:v>
      </x:c>
      <x:c r="T8" s="12" t="str">
        <x:v>Todo riesgo · 20% v.s , min USD 200 (EL MAYOR DE LOS DOS)</x:v>
      </x:c>
      <x:c r="U8" s="12" t="str">
        <x:v>099 555 3333</x:v>
      </x:c>
      <x:c r="V8" s="12" t="str"/>
      <x:c r="W8" s="12" t="str">
        <x:v>REFUGIO DE VIDA SILVESTRE EL ZARZA</x:v>
      </x:c>
      <x:c r="X8" s="12" t="str">
        <x:v>7 FAP EL ZARZA MOTO 201266.pdf</x:v>
      </x:c>
      <x:c r="Y8" s="12" t="str"/>
      <x:c r="Z8" s="12" t="str">
        <x:v>SI</x:v>
      </x:c>
    </x:row>
    <x:row r="9">
      <x:c r="A9" s="18" t="n">
        <x:v>8</x:v>
      </x:c>
      <x:c r="B9" s="12" t="str">
        <x:v>REFUGIO DE VIDA SILVESTRE EL ZARZA</x:v>
      </x:c>
      <x:c r="C9" s="12" t="str">
        <x:v>JG996V</x:v>
      </x:c>
      <x:c r="D9" s="12" t="str">
        <x:v>Moto</x:v>
      </x:c>
      <x:c r="E9" s="12" t="str">
        <x:v>HONDA</x:v>
      </x:c>
      <x:c r="F9" s="12" t="str">
        <x:v>XR190L</x:v>
      </x:c>
      <x:c r="G9" s="18" t="n">
        <x:v>2022</x:v>
      </x:c>
      <x:c r="H9" s="12" t="str">
        <x:v>BLANCO</x:v>
      </x:c>
      <x:c r="I9" s="12" t="str">
        <x:v>VO-0201266</x:v>
      </x:c>
      <x:c r="J9" s="12" t="str">
        <x:v>201266</x:v>
      </x:c>
      <x:c r="K9" s="12" t="str">
        <x:v>Aseguradora del Sur C.A.</x:v>
      </x:c>
      <x:c r="L9" s="14" t="n">
        <x:v>46023</x:v>
      </x:c>
      <x:c r="M9" s="14" t="n">
        <x:v>46388</x:v>
      </x:c>
      <x:c r="N9" s="12" t="str">
        <x:v>VIGENTE</x:v>
      </x:c>
      <x:c r="O9" s="18" t="n">
        <x:v>185</x:v>
      </x:c>
      <x:c r="P9" s="16" t="n">
        <x:v>3000</x:v>
      </x:c>
      <x:c r="Q9" s="16" t="n">
        <x:v>0</x:v>
      </x:c>
      <x:c r="R9" s="16" t="n">
        <x:v>3000</x:v>
      </x:c>
      <x:c r="S9" s="16" t="n">
        <x:v>539.35</x:v>
      </x:c>
      <x:c r="T9" s="12" t="str">
        <x:v>Todo riesgo · 20% v.s , min USD 200 (EL MAYOR DE LOS DOS)</x:v>
      </x:c>
      <x:c r="U9" s="12" t="str">
        <x:v>099 555 3333</x:v>
      </x:c>
      <x:c r="V9" s="12" t="str"/>
      <x:c r="W9" s="12" t="str">
        <x:v>REFUGIO DE VIDA SILVESTRE EL ZARZA</x:v>
      </x:c>
      <x:c r="X9" s="12" t="str">
        <x:v>7 FAP EL ZARZA MOTO 201266.pdf</x:v>
      </x:c>
      <x:c r="Y9" s="12" t="str"/>
      <x:c r="Z9" s="12" t="str">
        <x:v>SI</x:v>
      </x:c>
    </x:row>
    <x:row r="10">
      <x:c r="A10" s="18" t="n">
        <x:v>9</x:v>
      </x:c>
      <x:c r="B10" s="12" t="str">
        <x:v>REFUGIO DE VIDA SILVESTRE EL ZARZA</x:v>
      </x:c>
      <x:c r="C10" s="12" t="str">
        <x:v>JG995V</x:v>
      </x:c>
      <x:c r="D10" s="12" t="str">
        <x:v>Moto</x:v>
      </x:c>
      <x:c r="E10" s="12" t="str">
        <x:v>HONDA</x:v>
      </x:c>
      <x:c r="F10" s="12" t="str">
        <x:v>XR190L</x:v>
      </x:c>
      <x:c r="G10" s="18" t="n">
        <x:v>2022</x:v>
      </x:c>
      <x:c r="H10" s="12" t="str">
        <x:v>ROJO</x:v>
      </x:c>
      <x:c r="I10" s="12" t="str">
        <x:v>VO-0201266</x:v>
      </x:c>
      <x:c r="J10" s="12" t="str">
        <x:v>201266</x:v>
      </x:c>
      <x:c r="K10" s="12" t="str">
        <x:v>Aseguradora del Sur C.A.</x:v>
      </x:c>
      <x:c r="L10" s="14" t="n">
        <x:v>46023</x:v>
      </x:c>
      <x:c r="M10" s="14" t="n">
        <x:v>46388</x:v>
      </x:c>
      <x:c r="N10" s="12" t="str">
        <x:v>VIGENTE</x:v>
      </x:c>
      <x:c r="O10" s="18" t="n">
        <x:v>185</x:v>
      </x:c>
      <x:c r="P10" s="16" t="n">
        <x:v>3000</x:v>
      </x:c>
      <x:c r="Q10" s="16" t="n">
        <x:v>0</x:v>
      </x:c>
      <x:c r="R10" s="16" t="n">
        <x:v>3000</x:v>
      </x:c>
      <x:c r="S10" s="16" t="n">
        <x:v>539.35</x:v>
      </x:c>
      <x:c r="T10" s="12" t="str">
        <x:v>Todo riesgo · 20% v.s , min USD 200 (EL MAYOR DE LOS DOS)</x:v>
      </x:c>
      <x:c r="U10" s="12" t="str">
        <x:v>099 555 3333</x:v>
      </x:c>
      <x:c r="V10" s="12" t="str"/>
      <x:c r="W10" s="12" t="str">
        <x:v>REFUGIO DE VIDA SILVESTRE EL ZARZA</x:v>
      </x:c>
      <x:c r="X10" s="12" t="str">
        <x:v>7 FAP EL ZARZA MOTO 201266.pdf</x:v>
      </x:c>
      <x:c r="Y10" s="12" t="str"/>
      <x:c r="Z10" s="12" t="str">
        <x:v>SI</x:v>
      </x:c>
    </x:row>
    <x:row r="11">
      <x:c r="A11" s="18" t="n">
        <x:v>10</x:v>
      </x:c>
      <x:c r="B11" s="12" t="str">
        <x:v>PARQUE NACIONAL SANGAY</x:v>
      </x:c>
      <x:c r="C11" s="12" t="str">
        <x:v>JW415N</x:v>
      </x:c>
      <x:c r="D11" s="12" t="str">
        <x:v>Moto</x:v>
      </x:c>
      <x:c r="E11" s="12" t="str">
        <x:v>HONDA</x:v>
      </x:c>
      <x:c r="F11" s="12" t="str">
        <x:v>XR190L</x:v>
      </x:c>
      <x:c r="G11" s="18" t="n">
        <x:v>2022</x:v>
      </x:c>
      <x:c r="H11" s="12" t="str">
        <x:v>ROJO</x:v>
      </x:c>
      <x:c r="I11" s="12" t="str">
        <x:v>VO-0201267</x:v>
      </x:c>
      <x:c r="J11" s="12" t="str">
        <x:v>201267</x:v>
      </x:c>
      <x:c r="K11" s="12" t="str">
        <x:v>Aseguradora del Sur C.A.</x:v>
      </x:c>
      <x:c r="L11" s="14" t="n">
        <x:v>46023</x:v>
      </x:c>
      <x:c r="M11" s="14" t="n">
        <x:v>46388</x:v>
      </x:c>
      <x:c r="N11" s="12" t="str">
        <x:v>VIGENTE</x:v>
      </x:c>
      <x:c r="O11" s="18" t="n">
        <x:v>185</x:v>
      </x:c>
      <x:c r="P11" s="16" t="n">
        <x:v>3000</x:v>
      </x:c>
      <x:c r="Q11" s="16" t="n">
        <x:v>0</x:v>
      </x:c>
      <x:c r="R11" s="16" t="n">
        <x:v>3000</x:v>
      </x:c>
      <x:c r="S11" s="16" t="n">
        <x:v>179.98</x:v>
      </x:c>
      <x:c r="T11" s="12" t="str">
        <x:v>TODO RIESGO · 20% valor del siniestro, mínimo USD $200,00</x:v>
      </x:c>
      <x:c r="U11" s="12" t="str">
        <x:v>099 555 3333</x:v>
      </x:c>
      <x:c r="V11" s="12" t="str"/>
      <x:c r="W11" s="12" t="str">
        <x:v>PARQUE NACIONAL SANGAY</x:v>
      </x:c>
      <x:c r="X11" s="12" t="str">
        <x:v>6 FAP SANGAY MOTO 201267.pdf</x:v>
      </x:c>
      <x:c r="Y11" s="12" t="str"/>
      <x:c r="Z11" s="12" t="str">
        <x:v>SI</x:v>
      </x:c>
    </x:row>
    <x:row r="12">
      <x:c r="A12" s="18" t="n">
        <x:v>11</x:v>
      </x:c>
      <x:c r="B12" s="12" t="str">
        <x:v>RESERVA SANTA ELENA</x:v>
      </x:c>
      <x:c r="C12" s="12" t="str">
        <x:v>JJ835T</x:v>
      </x:c>
      <x:c r="D12" s="12" t="str">
        <x:v>Moto</x:v>
      </x:c>
      <x:c r="E12" s="12" t="str">
        <x:v>DAYTONA</x:v>
      </x:c>
      <x:c r="F12" s="12" t="str">
        <x:v>DY200 FORCE DS</x:v>
      </x:c>
      <x:c r="G12" s="18" t="n">
        <x:v>2022</x:v>
      </x:c>
      <x:c r="H12" s="12" t="str">
        <x:v>BLANCO</x:v>
      </x:c>
      <x:c r="I12" s="12" t="str">
        <x:v>VO-0201271</x:v>
      </x:c>
      <x:c r="J12" s="12" t="str">
        <x:v>201271</x:v>
      </x:c>
      <x:c r="K12" s="12" t="str">
        <x:v>Aseguradora del Sur C.A.</x:v>
      </x:c>
      <x:c r="L12" s="14" t="n">
        <x:v>46023</x:v>
      </x:c>
      <x:c r="M12" s="14" t="n">
        <x:v>46388</x:v>
      </x:c>
      <x:c r="N12" s="12" t="str">
        <x:v>VIGENTE</x:v>
      </x:c>
      <x:c r="O12" s="18" t="n">
        <x:v>185</x:v>
      </x:c>
      <x:c r="P12" s="16" t="n">
        <x:v>1300</x:v>
      </x:c>
      <x:c r="Q12" s="16" t="n">
        <x:v>0</x:v>
      </x:c>
      <x:c r="R12" s="16" t="n">
        <x:v>1300</x:v>
      </x:c>
      <x:c r="S12" s="16" t="n">
        <x:v>179.98</x:v>
      </x:c>
      <x:c r="T12" s="12" t="str">
        <x:v>10% DEL VALOR DEL SINIESTRO , MINIMO USD $ 250,00 ( EL MAYOR DE LOS DOS)</x:v>
      </x:c>
      <x:c r="U12" s="12" t="str">
        <x:v>099 555 3333</x:v>
      </x:c>
      <x:c r="V12" s="12" t="str"/>
      <x:c r="W12" s="12" t="str">
        <x:v>RESERVA SANTA ELENA</x:v>
      </x:c>
      <x:c r="X12" s="12" t="str">
        <x:v>12 FAP STA ELENA MOTO 201271.pdf</x:v>
      </x:c>
      <x:c r="Y12" s="12" t="str"/>
      <x:c r="Z12" s="12" t="str">
        <x:v>SI</x:v>
      </x:c>
    </x:row>
    <x:row r="13">
      <x:c r="A13" s="18" t="n">
        <x:v>12</x:v>
      </x:c>
      <x:c r="B13" s="12" t="str">
        <x:v>RESERVA MARINA PUERTO CABUYAL</x:v>
      </x:c>
      <x:c r="C13" s="12" t="str">
        <x:v>KR449O</x:v>
      </x:c>
      <x:c r="D13" s="12" t="str">
        <x:v>Moto</x:v>
      </x:c>
      <x:c r="E13" s="12" t="str">
        <x:v>HONDA</x:v>
      </x:c>
      <x:c r="F13" s="12" t="str">
        <x:v>XR190L</x:v>
      </x:c>
      <x:c r="G13" s="18" t="n">
        <x:v>2026</x:v>
      </x:c>
      <x:c r="H13" s="12" t="str">
        <x:v>BLANCO</x:v>
      </x:c>
      <x:c r="I13" s="12" t="str">
        <x:v>VO-0201291</x:v>
      </x:c>
      <x:c r="J13" s="12" t="str">
        <x:v>201291</x:v>
      </x:c>
      <x:c r="K13" s="12" t="str">
        <x:v>Aseguradora del Sur C.A.</x:v>
      </x:c>
      <x:c r="L13" s="14" t="n">
        <x:v>46037</x:v>
      </x:c>
      <x:c r="M13" s="14" t="n">
        <x:v>46388</x:v>
      </x:c>
      <x:c r="N13" s="12" t="str">
        <x:v>VIGENTE</x:v>
      </x:c>
      <x:c r="O13" s="18" t="n">
        <x:v>185</x:v>
      </x:c>
      <x:c r="P13" s="16" t="n">
        <x:v>4749.99</x:v>
      </x:c>
      <x:c r="Q13" s="16" t="n">
        <x:v>0</x:v>
      </x:c>
      <x:c r="R13" s="16" t="n">
        <x:v>4749.99</x:v>
      </x:c>
      <x:c r="S13" s="16" t="n">
        <x:v>219.09</x:v>
      </x:c>
      <x:c r="T13" s="12" t="str">
        <x:v>20% v.s , min USD 200 (EL MAYOR DE LOS DOS)</x:v>
      </x:c>
      <x:c r="U13" s="12" t="str">
        <x:v>099 555 3333</x:v>
      </x:c>
      <x:c r="V13" s="12" t="str"/>
      <x:c r="W13" s="12" t="str">
        <x:v>RESERVA MARINA PUERTO CABUYAL</x:v>
      </x:c>
      <x:c r="X13" s="12" t="str">
        <x:v>14 MOTO 201291.pdf</x:v>
      </x:c>
      <x:c r="Y13" s="12" t="str"/>
      <x:c r="Z13" s="12" t="str">
        <x:v>SI</x:v>
      </x:c>
    </x:row>
    <x:row r="14">
      <x:c r="A14" s="18" t="n">
        <x:v>13</x:v>
      </x:c>
      <x:c r="B14" s="12" t="str">
        <x:v>PASF II</x:v>
      </x:c>
      <x:c r="C14" s="12" t="str">
        <x:v>GSV5174</x:v>
      </x:c>
      <x:c r="D14" s="12" t="str">
        <x:v>Jeep/SUV</x:v>
      </x:c>
      <x:c r="E14" s="12" t="str">
        <x:v>SUZUKI</x:v>
      </x:c>
      <x:c r="F14" s="12" t="str">
        <x:v>GRAND VITARA SZ AC 2.0 5P 4X2 TM</x:v>
      </x:c>
      <x:c r="G14" s="18" t="n">
        <x:v>2018</x:v>
      </x:c>
      <x:c r="H14" s="12" t="str">
        <x:v>BLANCO</x:v>
      </x:c>
      <x:c r="I14" s="12" t="str">
        <x:v>VP-0205090</x:v>
      </x:c>
      <x:c r="J14" s="12" t="str">
        <x:v>205090</x:v>
      </x:c>
      <x:c r="K14" s="12" t="str">
        <x:v>Aseguradora del Sur C.A.</x:v>
      </x:c>
      <x:c r="L14" s="14" t="n">
        <x:v>46023</x:v>
      </x:c>
      <x:c r="M14" s="14" t="n">
        <x:v>46388</x:v>
      </x:c>
      <x:c r="N14" s="12" t="str">
        <x:v>VIGENTE</x:v>
      </x:c>
      <x:c r="O14" s="18" t="n">
        <x:v>185</x:v>
      </x:c>
      <x:c r="P14" s="16" t="n">
        <x:v>14000</x:v>
      </x:c>
      <x:c r="Q14" s="16" t="n">
        <x:v>0</x:v>
      </x:c>
      <x:c r="R14" s="16" t="n">
        <x:v>14000</x:v>
      </x:c>
      <x:c r="S14" s="16" t="n">
        <x:v>383.96</x:v>
      </x:c>
      <x:c r="T14" s="12" t="str">
        <x:v>Perdida parcial (por evento) USD 550 · Daños parciales o perdida total 10% v.a. · Perdidas totales robo o hurto 10% v.a. · Si se vuelve de alto riego por robo y/o hurto 20% v.a.</x:v>
      </x:c>
      <x:c r="U14" s="12" t="str">
        <x:v>099 555 3333</x:v>
      </x:c>
      <x:c r="V14" s="12" t="str"/>
      <x:c r="W14" s="12" t="str">
        <x:v>PASF II</x:v>
      </x:c>
      <x:c r="X14" s="12" t="str">
        <x:v>20 PASF II 205090.pdf</x:v>
      </x:c>
      <x:c r="Y14" s="12" t="str"/>
      <x:c r="Z14" s="12" t="str">
        <x:v>SI</x:v>
      </x:c>
    </x:row>
    <x:row r="15">
      <x:c r="A15" s="18" t="n">
        <x:v>14</x:v>
      </x:c>
      <x:c r="B15" s="12" t="str">
        <x:v>PASF II</x:v>
      </x:c>
      <x:c r="C15" s="12" t="str">
        <x:v>PFD3377</x:v>
      </x:c>
      <x:c r="D15" s="12" t="str">
        <x:v>Camioneta</x:v>
      </x:c>
      <x:c r="E15" s="12" t="str">
        <x:v>JAC</x:v>
      </x:c>
      <x:c r="F15" s="12" t="str">
        <x:v>HFC1037D3KST LUXURY T8 AC 2.0 CD 4X4 TML</x:v>
      </x:c>
      <x:c r="G15" s="18" t="n">
        <x:v>2024</x:v>
      </x:c>
      <x:c r="H15" s="12" t="str">
        <x:v>BLANCO</x:v>
      </x:c>
      <x:c r="I15" s="12" t="str">
        <x:v>VP-0205092</x:v>
      </x:c>
      <x:c r="J15" s="12" t="str">
        <x:v>205092</x:v>
      </x:c>
      <x:c r="K15" s="12" t="str">
        <x:v>Aseguradora del Sur C.A.</x:v>
      </x:c>
      <x:c r="L15" s="14" t="n">
        <x:v>46023</x:v>
      </x:c>
      <x:c r="M15" s="14" t="n">
        <x:v>46388</x:v>
      </x:c>
      <x:c r="N15" s="12" t="str">
        <x:v>VIGENTE</x:v>
      </x:c>
      <x:c r="O15" s="18" t="n">
        <x:v>185</x:v>
      </x:c>
      <x:c r="P15" s="16" t="n">
        <x:v>19000</x:v>
      </x:c>
      <x:c r="Q15" s="16" t="n">
        <x:v>5355.35</x:v>
      </x:c>
      <x:c r="R15" s="16" t="n">
        <x:v>24355.35</x:v>
      </x:c>
      <x:c r="S15" s="16" t="n">
        <x:v>1341.16</x:v>
      </x:c>
      <x:c r="T15" s="12" t="str">
        <x:v>Perdida parcial (por evento) USD 550 · Daños parciales o perdida total 10% v.a. · Perdidas totales robo o hurto 10% v.a. · Si se vuelve de alto riego por robo y/o hurto 20% v.a.</x:v>
      </x:c>
      <x:c r="U15" s="12" t="str">
        <x:v>099 555 3333</x:v>
      </x:c>
      <x:c r="V15" s="12" t="str"/>
      <x:c r="W15" s="12" t="str">
        <x:v>PASF II</x:v>
      </x:c>
      <x:c r="X15" s="12" t="str">
        <x:v>19 PASF II 205092.pdf</x:v>
      </x:c>
      <x:c r="Y15" s="12" t="str"/>
      <x:c r="Z15" s="12" t="str">
        <x:v>SI</x:v>
      </x:c>
    </x:row>
    <x:row r="16">
      <x:c r="A16" s="18" t="n">
        <x:v>15</x:v>
      </x:c>
      <x:c r="B16" s="12" t="str">
        <x:v>PASF II</x:v>
      </x:c>
      <x:c r="C16" s="12" t="str">
        <x:v>PFD3378</x:v>
      </x:c>
      <x:c r="D16" s="12" t="str">
        <x:v>Camioneta</x:v>
      </x:c>
      <x:c r="E16" s="12" t="str">
        <x:v>JAC</x:v>
      </x:c>
      <x:c r="F16" s="12" t="str">
        <x:v>HFC1037D3KST LUXURY T8 AC 2.0 CD 4X4 TML</x:v>
      </x:c>
      <x:c r="G16" s="18" t="n">
        <x:v>2024</x:v>
      </x:c>
      <x:c r="H16" s="12" t="str">
        <x:v>BLANCO</x:v>
      </x:c>
      <x:c r="I16" s="12" t="str">
        <x:v>VP-0205092</x:v>
      </x:c>
      <x:c r="J16" s="12" t="str">
        <x:v>205092</x:v>
      </x:c>
      <x:c r="K16" s="12" t="str">
        <x:v>Aseguradora del Sur C.A.</x:v>
      </x:c>
      <x:c r="L16" s="14" t="n">
        <x:v>46023</x:v>
      </x:c>
      <x:c r="M16" s="14" t="n">
        <x:v>46388</x:v>
      </x:c>
      <x:c r="N16" s="12" t="str">
        <x:v>VIGENTE</x:v>
      </x:c>
      <x:c r="O16" s="18" t="n">
        <x:v>185</x:v>
      </x:c>
      <x:c r="P16" s="16" t="n">
        <x:v>19000</x:v>
      </x:c>
      <x:c r="Q16" s="16" t="n">
        <x:v>5355.35</x:v>
      </x:c>
      <x:c r="R16" s="16" t="n">
        <x:v>24355.35</x:v>
      </x:c>
      <x:c r="S16" s="16" t="n">
        <x:v>1341.16</x:v>
      </x:c>
      <x:c r="T16" s="12" t="str">
        <x:v>Perdida parcial (por evento) USD 550 · Daños parciales o perdida total 10% v.a. · Perdidas totales robo o hurto 10% v.a. · Si se vuelve de alto riego por robo y/o hurto 20% v.a.</x:v>
      </x:c>
      <x:c r="U16" s="12" t="str">
        <x:v>099 555 3333</x:v>
      </x:c>
      <x:c r="V16" s="12" t="str"/>
      <x:c r="W16" s="12" t="str">
        <x:v>PASF II</x:v>
      </x:c>
      <x:c r="X16" s="12" t="str">
        <x:v>19 PASF II 205092.pdf</x:v>
      </x:c>
      <x:c r="Y16" s="12" t="str"/>
      <x:c r="Z16" s="12" t="str">
        <x:v>SI</x:v>
      </x:c>
    </x:row>
    <x:row r="17">
      <x:c r="A17" s="18" t="n">
        <x:v>16</x:v>
      </x:c>
      <x:c r="B17" s="12" t="str">
        <x:v>REFUGIO DE VIDA SILVESTRE EL MORRO</x:v>
      </x:c>
      <x:c r="C17" s="12" t="str">
        <x:v>PDT4190</x:v>
      </x:c>
      <x:c r="D17" s="12" t="str">
        <x:v>Camioneta</x:v>
      </x:c>
      <x:c r="E17" s="12" t="str">
        <x:v>CHEVROLET</x:v>
      </x:c>
      <x:c r="F17" s="12" t="str">
        <x:v>D-MAX CRDI 2.5 CD 4X4 TM DIESEL</x:v>
      </x:c>
      <x:c r="G17" s="18" t="n">
        <x:v>2022</x:v>
      </x:c>
      <x:c r="H17" s="12" t="str">
        <x:v>BLANCO</x:v>
      </x:c>
      <x:c r="I17" s="12" t="str">
        <x:v>VP-0205277</x:v>
      </x:c>
      <x:c r="J17" s="12" t="str">
        <x:v>205277</x:v>
      </x:c>
      <x:c r="K17" s="12" t="str">
        <x:v>Aseguradora del Sur C.A.</x:v>
      </x:c>
      <x:c r="L17" s="14" t="n">
        <x:v>46023</x:v>
      </x:c>
      <x:c r="M17" s="14" t="n">
        <x:v>46388</x:v>
      </x:c>
      <x:c r="N17" s="12" t="str">
        <x:v>VIGENTE</x:v>
      </x:c>
      <x:c r="O17" s="18" t="n">
        <x:v>185</x:v>
      </x:c>
      <x:c r="P17" s="16" t="n">
        <x:v>27000</x:v>
      </x:c>
      <x:c r="Q17" s="16" t="n">
        <x:v>0</x:v>
      </x:c>
      <x:c r="R17" s="16" t="n">
        <x:v>27000</x:v>
      </x:c>
      <x:c r="S17" s="16" t="n">
        <x:v>743.88</x:v>
      </x:c>
      <x:c r="T17" s="12" t="str">
        <x:v>Perdida parcial (por evento) USD 550 · Daños parciales o perdida total 10% v.a. · Perdidas totales robo o hurto 10% v.a. · Si se vuelve de alto riego por robo y/o hurto 20% v.a. · Perdida total con dispositivo</x:v>
      </x:c>
      <x:c r="U17" s="12" t="str">
        <x:v>099 555 3333</x:v>
      </x:c>
      <x:c r="V17" s="12" t="str"/>
      <x:c r="W17" s="12" t="str">
        <x:v>REFUGIO DE VIDA SILVESTRE EL MORRO</x:v>
      </x:c>
      <x:c r="X17" s="12" t="str">
        <x:v>13 FAP VP EL MORRO 205277.pdf</x:v>
      </x:c>
      <x:c r="Y17" s="12" t="str"/>
      <x:c r="Z17" s="12" t="str">
        <x:v>SI</x:v>
      </x:c>
    </x:row>
    <x:row r="18">
      <x:c r="A18" s="18" t="n">
        <x:v>17</x:v>
      </x:c>
      <x:c r="B18" s="12" t="str">
        <x:v>PARQUE NACIONAL ANTISANA</x:v>
      </x:c>
      <x:c r="C18" s="12" t="str">
        <x:v>PFB2623</x:v>
      </x:c>
      <x:c r="D18" s="12" t="str">
        <x:v>Camioneta</x:v>
      </x:c>
      <x:c r="E18" s="12" t="str">
        <x:v>NISSAN</x:v>
      </x:c>
      <x:c r="F18" s="12" t="str">
        <x:v>FRONTIER SE AC 2.5 CD 4X4 TM DIESEL</x:v>
      </x:c>
      <x:c r="G18" s="18" t="n">
        <x:v>2024</x:v>
      </x:c>
      <x:c r="H18" s="12" t="str">
        <x:v>PLATEADO</x:v>
      </x:c>
      <x:c r="I18" s="12" t="str">
        <x:v>VP-0205359</x:v>
      </x:c>
      <x:c r="J18" s="12" t="str">
        <x:v>205359</x:v>
      </x:c>
      <x:c r="K18" s="12" t="str">
        <x:v>Aseguradora del Sur C.A.</x:v>
      </x:c>
      <x:c r="L18" s="14" t="n">
        <x:v>46023</x:v>
      </x:c>
      <x:c r="M18" s="14" t="n">
        <x:v>46388</x:v>
      </x:c>
      <x:c r="N18" s="12" t="str">
        <x:v>VIGENTE</x:v>
      </x:c>
      <x:c r="O18" s="18" t="n">
        <x:v>185</x:v>
      </x:c>
      <x:c r="P18" s="16" t="n">
        <x:v>27000</x:v>
      </x:c>
      <x:c r="Q18" s="16" t="n">
        <x:v>3181.5</x:v>
      </x:c>
      <x:c r="R18" s="16" t="n">
        <x:v>30181.5</x:v>
      </x:c>
      <x:c r="S18" s="16" t="n">
        <x:v>831.4</x:v>
      </x:c>
      <x:c r="T18" s="12" t="str">
        <x:v>Perdida parcial (por evento) : USD 550 · Daños parciales o perdida total : 10% valor asegurado. · Perdidas totales robo o hurto : 10% valor asegurado. · Si se vuelve de alto riego por robo y/o hurto : 20% valor asegurado. · Perdida total con dispositivo</x:v>
      </x:c>
      <x:c r="U18" s="12" t="str">
        <x:v>099 555 3333</x:v>
      </x:c>
      <x:c r="V18" s="12" t="str"/>
      <x:c r="W18" s="12" t="str">
        <x:v>PARQUE NACIONAL ANTISANA</x:v>
      </x:c>
      <x:c r="X18" s="12" t="str">
        <x:v>3 FAP ANTISANA 205359.pdf</x:v>
      </x:c>
      <x:c r="Y18" s="12" t="str"/>
      <x:c r="Z18" s="12" t="str">
        <x:v>SI</x:v>
      </x:c>
    </x:row>
    <x:row r="19">
      <x:c r="A19" s="18" t="n">
        <x:v>18</x:v>
      </x:c>
      <x:c r="B19" s="12" t="str">
        <x:v>FIAS / VEHÍCULO INSTITUCIONAL</x:v>
      </x:c>
      <x:c r="C19" s="12" t="str">
        <x:v>PDF8770</x:v>
      </x:c>
      <x:c r="D19" s="12" t="str">
        <x:v>Jeep/SUV</x:v>
      </x:c>
      <x:c r="E19" s="12" t="str">
        <x:v>TOYOTA</x:v>
      </x:c>
      <x:c r="F19" s="12" t="str">
        <x:v>NEW FORTUNER AC 2.7 5P 4X4 TM</x:v>
      </x:c>
      <x:c r="G19" s="18" t="n">
        <x:v>2019</x:v>
      </x:c>
      <x:c r="H19" s="12" t="str">
        <x:v>PLOMO</x:v>
      </x:c>
      <x:c r="I19" s="12" t="str">
        <x:v>VP-0205415</x:v>
      </x:c>
      <x:c r="J19" s="12" t="str">
        <x:v>205415</x:v>
      </x:c>
      <x:c r="K19" s="12" t="str">
        <x:v>Aseguradora del Sur C.A.</x:v>
      </x:c>
      <x:c r="L19" s="14" t="n">
        <x:v>46023</x:v>
      </x:c>
      <x:c r="M19" s="14" t="n">
        <x:v>46388</x:v>
      </x:c>
      <x:c r="N19" s="12" t="str">
        <x:v>VIGENTE</x:v>
      </x:c>
      <x:c r="O19" s="18" t="n">
        <x:v>185</x:v>
      </x:c>
      <x:c r="P19" s="16" t="n">
        <x:v>34000</x:v>
      </x:c>
      <x:c r="Q19" s="16" t="n">
        <x:v>3000</x:v>
      </x:c>
      <x:c r="R19" s="16" t="n">
        <x:v>37000</x:v>
      </x:c>
      <x:c r="S19" s="16" t="n">
        <x:v>1018.96</x:v>
      </x:c>
      <x:c r="T19" s="12" t="str">
        <x:v>Perdida parcial (por evento) : USD 550 · Daños parciales o perdida total : 10% valor asegurado. · Perdidas totales robo o hurto : 10% valor asegurado. · Si se vuelve de alto riego por robo y/o hurto : 20% valor asegurado. · Perdida total con dispositivo</x:v>
      </x:c>
      <x:c r="U19" s="12" t="str">
        <x:v>099 555 3333</x:v>
      </x:c>
      <x:c r="V19" s="12" t="str"/>
      <x:c r="W19" s="12" t="str">
        <x:v>FIAS / VEHÍCULO INSTITUCIONAL</x:v>
      </x:c>
      <x:c r="X19" s="12" t="str">
        <x:v>205415.pdf</x:v>
      </x:c>
      <x:c r="Y19" s="12" t="str"/>
      <x:c r="Z19" s="12" t="str">
        <x:v>SI</x:v>
      </x:c>
    </x:row>
    <x:row r="20">
      <x:c r="A20" s="18" t="n">
        <x:v>19</x:v>
      </x:c>
      <x:c r="B20" s="12" t="str">
        <x:v>PARQUE NACIONAL MACHALILLA</x:v>
      </x:c>
      <x:c r="C20" s="12" t="str">
        <x:v>PDU4216</x:v>
      </x:c>
      <x:c r="D20" s="12" t="str">
        <x:v>Camioneta</x:v>
      </x:c>
      <x:c r="E20" s="12" t="str">
        <x:v>JAC</x:v>
      </x:c>
      <x:c r="F20" s="12" t="str">
        <x:v>HFC1037D3KST LUXURY T8 AC 2.0 CD 4X4 TM</x:v>
      </x:c>
      <x:c r="G20" s="18" t="n">
        <x:v>2022</x:v>
      </x:c>
      <x:c r="H20" s="12" t="str">
        <x:v>PLATEADO</x:v>
      </x:c>
      <x:c r="I20" s="12" t="str">
        <x:v>VP-0205468</x:v>
      </x:c>
      <x:c r="J20" s="12" t="str">
        <x:v>205468</x:v>
      </x:c>
      <x:c r="K20" s="12" t="str">
        <x:v>Aseguradora del Sur C.A.</x:v>
      </x:c>
      <x:c r="L20" s="14" t="n">
        <x:v>46023</x:v>
      </x:c>
      <x:c r="M20" s="14" t="n">
        <x:v>46388</x:v>
      </x:c>
      <x:c r="N20" s="12" t="str">
        <x:v>VIGENTE</x:v>
      </x:c>
      <x:c r="O20" s="18" t="n">
        <x:v>185</x:v>
      </x:c>
      <x:c r="P20" s="16" t="n">
        <x:v>16500</x:v>
      </x:c>
      <x:c r="Q20" s="16" t="n">
        <x:v>3900</x:v>
      </x:c>
      <x:c r="R20" s="16" t="n">
        <x:v>20400</x:v>
      </x:c>
      <x:c r="S20" s="16" t="n">
        <x:v>560.02</x:v>
      </x:c>
      <x:c r="T20" s="12" t="str">
        <x:v>Perdida parcial (por evento) : USD 550 · Daños parciales o perdida total : 10% valor asegurado. · Perdidas totales robo o hurto : 10% valor asegurado. · Si se vuelve de alto riego por robo y/o hurto : 20% valor asegurado. · Perdida total con dispositivo</x:v>
      </x:c>
      <x:c r="U20" s="12" t="str">
        <x:v>099 555 3333</x:v>
      </x:c>
      <x:c r="V20" s="12" t="str"/>
      <x:c r="W20" s="12" t="str">
        <x:v>PARQUE NACIONAL MACHALILLA</x:v>
      </x:c>
      <x:c r="X20" s="12" t="str">
        <x:v>4 FAP - MACHALILLA VH POLIZA 205468.pdf</x:v>
      </x:c>
      <x:c r="Y20" s="12" t="str"/>
      <x:c r="Z20" s="12" t="str">
        <x:v>SI</x:v>
      </x:c>
    </x:row>
  </x:sheetData>
  <x:conditionalFormatting sqref="N2:N200">
    <x:cfRule type="expression" dxfId="0" priority="1">
      <x:formula>N2="VENCIDA"</x:formula>
    </x:cfRule>
    <x:cfRule type="expression" dxfId="1" priority="2">
      <x:formula>N2="POR VENCER"</x:formula>
    </x:cfRule>
    <x:cfRule type="expression" dxfId="2" priority="3">
      <x:formula>N2="VIGENTE"</x:formula>
    </x:cfRule>
  </x:conditionalFormatting>
  <x:dataValidations count="3">
    <x:dataValidation type="list" sqref="D2:D200">
      <x:formula1>"Camioneta,Jeep,Moto,Cuadrón,Vehículo"</x:formula1>
    </x:dataValidation>
    <x:dataValidation type="list" sqref="N2:N200">
      <x:formula1>"VIGENTE,POR VENCER,VENCIDA,OCULTA"</x:formula1>
    </x:dataValidation>
    <x:dataValidation type="list" sqref="Z2:Z2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e2e214b2474fa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5" hidden="0" customWidth="1"/>
  </x:cols>
  <x:sheetData>
    <x:row r="1">
      <x:c r="A1" s="21" t="str">
        <x:v>BASE DE DATOS SIMPLIFICADA · SEGURO VEHICULAR FIAS</x:v>
      </x:c>
    </x:row>
    <x:row r="3">
      <x:c r="A3" s="24" t="str">
        <x:v>Uso</x:v>
      </x:c>
    </x:row>
    <x:row r="4">
      <x:c r="A4" s="28" t="str">
        <x:v>1</x:v>
      </x:c>
      <x:c r="B4" s="12" t="str">
        <x:v>Actualiza únicamente la hoja Control.</x:v>
      </x:c>
    </x:row>
    <x:row r="5">
      <x:c r="A5" s="28" t="str">
        <x:v>2</x:v>
      </x:c>
      <x:c r="B5" s="12" t="str">
        <x:v>Mantén los encabezados de la fila 1 para que GitHub Actions pueda convertir el Excel a JSON.</x:v>
      </x:c>
    </x:row>
    <x:row r="6">
      <x:c r="A6" s="28" t="str">
        <x:v>3</x:v>
      </x:c>
      <x:c r="B6" s="12" t="str">
        <x:v>No combines celdas dentro de la tabla.</x:v>
      </x:c>
    </x:row>
    <x:row r="7">
      <x:c r="A7" s="28" t="str">
        <x:v>4</x:v>
      </x:c>
      <x:c r="B7" s="12" t="str">
        <x:v>Usa fechas en formato yyyy-mm-dd o fechas reales de Excel.</x:v>
      </x:c>
    </x:row>
    <x:row r="8">
      <x:c r="A8" s="28" t="str">
        <x:v>5</x:v>
      </x:c>
      <x:c r="B8" s="12" t="str">
        <x:v>Valores económicos deben ir como número, sin símbolos ni comas de miles.</x:v>
      </x:c>
    </x:row>
    <x:row r="9">
      <x:c r="A9" s="28" t="str">
        <x:v>6</x:v>
      </x:c>
      <x:c r="B9" s="12" t="str">
        <x:v>En Mostrar web coloca SI para publicar y NO para ocultar una fila.</x:v>
      </x:c>
    </x:row>
    <x:row r="10">
      <x:c r="A10" s="28" t="str">
        <x:v>7</x:v>
      </x:c>
      <x:c r="B10" s="12" t="str">
        <x:v>Los videos se cargan en GitHub, no en este Excel.</x:v>
      </x:c>
    </x:row>
  </x:sheetData>
  <x:mergeCells>
    <x:mergeCell ref="A1:H1"/>
  </x:mergeCells>
  <x:pageMargins left="0.7" right="0.7" top="0.75" bottom="0.75" header="0.3" footer="0.3"/>
</x:worksheet>
</file>