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230cdb8af5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1cb205c866ef4445"/>
    <x:sheet xmlns:r="http://schemas.openxmlformats.org/officeDocument/2006/relationships" name="00_Instrucciones" sheetId="2" r:id="Ra82b6a9e8be544f5"/>
    <x:sheet xmlns:r="http://schemas.openxmlformats.org/officeDocument/2006/relationships" name="01_Polizas" sheetId="3" r:id="Rb018159814954983"/>
    <x:sheet xmlns:r="http://schemas.openxmlformats.org/officeDocument/2006/relationships" name="02_Bienes_Asegurados" sheetId="4" r:id="R75275b3ac45d4102"/>
    <x:sheet xmlns:r="http://schemas.openxmlformats.org/officeDocument/2006/relationships" name="03_Coberturas" sheetId="5" r:id="Ra61be798ae394216"/>
    <x:sheet xmlns:r="http://schemas.openxmlformats.org/officeDocument/2006/relationships" name="04_Asistencia" sheetId="6" r:id="R0306965a3a6a4ef1"/>
    <x:sheet xmlns:r="http://schemas.openxmlformats.org/officeDocument/2006/relationships" name="05_Procedimiento_Siniestro" sheetId="7" r:id="R21fe94093f634317"/>
    <x:sheet xmlns:r="http://schemas.openxmlformats.org/officeDocument/2006/relationships" name="06_Documentos_Requeridos" sheetId="8" r:id="R6f64f558fd1e4681"/>
    <x:sheet xmlns:r="http://schemas.openxmlformats.org/officeDocument/2006/relationships" name="07_FAQ" sheetId="9" r:id="Re6a156e00e9c4598"/>
    <x:sheet xmlns:r="http://schemas.openxmlformats.org/officeDocument/2006/relationships" name="08_Videos" sheetId="10" r:id="R7abe762131b6436d"/>
    <x:sheet xmlns:r="http://schemas.openxmlformats.org/officeDocument/2006/relationships" name="09_Config_Web" sheetId="11" r:id="Reb6a22c64d4746ef"/>
    <x:sheet xmlns:r="http://schemas.openxmlformats.org/officeDocument/2006/relationships" name="10_Catalogos" sheetId="12" r:id="R492b47f9fdb141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26323B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B8A55"/>
      </x:patternFill>
    </x:fill>
    <x:fill>
      <x:patternFill patternType="solid">
        <x:fgColor rgb="FFEDF7F1"/>
      </x:patternFill>
    </x:fill>
    <x:fill>
      <x:patternFill patternType="solid">
        <x:fgColor rgb="FF0F6F49"/>
      </x:patternFill>
    </x:fill>
    <x:fill>
      <x:patternFill patternType="solid">
        <x:fgColor rgb="FF0B8A55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d21a7795fe40f7" /><Relationship Type="http://schemas.openxmlformats.org/officeDocument/2006/relationships/theme" Target="/xl/theme/theme1.xml" Id="Re79e6019152643a9" /><Relationship Type="http://schemas.openxmlformats.org/officeDocument/2006/relationships/sharedStrings" Target="/xl/sharedStrings.xml" Id="Rd14570ca587f4420" /><Relationship Type="http://schemas.openxmlformats.org/officeDocument/2006/relationships/worksheet" Target="/xl/worksheets/sheet1.xml" Id="R1cb205c866ef4445" /><Relationship Type="http://schemas.openxmlformats.org/officeDocument/2006/relationships/worksheet" Target="/xl/worksheets/sheet2.xml" Id="Ra82b6a9e8be544f5" /><Relationship Type="http://schemas.openxmlformats.org/officeDocument/2006/relationships/worksheet" Target="/xl/worksheets/sheet3.xml" Id="Rb018159814954983" /><Relationship Type="http://schemas.openxmlformats.org/officeDocument/2006/relationships/worksheet" Target="/xl/worksheets/sheet4.xml" Id="R75275b3ac45d4102" /><Relationship Type="http://schemas.openxmlformats.org/officeDocument/2006/relationships/worksheet" Target="/xl/worksheets/sheet5.xml" Id="Ra61be798ae394216" /><Relationship Type="http://schemas.openxmlformats.org/officeDocument/2006/relationships/worksheet" Target="/xl/worksheets/sheet6.xml" Id="R0306965a3a6a4ef1" /><Relationship Type="http://schemas.openxmlformats.org/officeDocument/2006/relationships/worksheet" Target="/xl/worksheets/sheet7.xml" Id="R21fe94093f634317" /><Relationship Type="http://schemas.openxmlformats.org/officeDocument/2006/relationships/worksheet" Target="/xl/worksheets/sheet8.xml" Id="R6f64f558fd1e4681" /><Relationship Type="http://schemas.openxmlformats.org/officeDocument/2006/relationships/worksheet" Target="/xl/worksheets/sheet9.xml" Id="Re6a156e00e9c4598" /><Relationship Type="http://schemas.openxmlformats.org/officeDocument/2006/relationships/worksheet" Target="/xl/worksheets/sheet10.xml" Id="R7abe762131b6436d" /><Relationship Type="http://schemas.openxmlformats.org/officeDocument/2006/relationships/worksheet" Target="/xl/worksheets/sheet11.xml" Id="Reb6a22c64d4746ef" /><Relationship Type="http://schemas.openxmlformats.org/officeDocument/2006/relationships/worksheet" Target="/xl/worksheets/sheet12.xml" Id="R492b47f9fdb141cd" /></Relationships>
</file>

<file path=xl/tables/table1.xml><?xml version="1.0" encoding="utf-8"?>
<x:table xmlns:x="http://schemas.openxmlformats.org/spreadsheetml/2006/main" id="1" name="tblPolizas" displayName="tblPolizas" ref="A1:AB14" headerRowCount="1">
  <x:tableColumns count="28">
    <x:tableColumn id="1" name="id_poliza"/>
    <x:tableColumn id="2" name="poliza_numero"/>
    <x:tableColumn id="3" name="ramo"/>
    <x:tableColumn id="4" name="documento"/>
    <x:tableColumn id="5" name="anexo"/>
    <x:tableColumn id="6" name="renovacion"/>
    <x:tableColumn id="7" name="aseguradora"/>
    <x:tableColumn id="8" name="asegurado"/>
    <x:tableColumn id="9" name="ruc_asegurado"/>
    <x:tableColumn id="10" name="emision"/>
    <x:tableColumn id="11" name="vig_desde"/>
    <x:tableColumn id="12" name="vig_hasta"/>
    <x:tableColumn id="13" name="plazo_dias"/>
    <x:tableColumn id="14" name="suma_asegurada_poliza"/>
    <x:tableColumn id="15" name="prima"/>
    <x:tableColumn id="16" name="scvs"/>
    <x:tableColumn id="17" name="derechos_emision"/>
    <x:tableColumn id="18" name="otros"/>
    <x:tableColumn id="19" name="seguro_campesino"/>
    <x:tableColumn id="20" name="iva"/>
    <x:tableColumn id="21" name="total_pagado"/>
    <x:tableColumn id="22" name="moneda"/>
    <x:tableColumn id="23" name="fecha_max_pago"/>
    <x:tableColumn id="24" name="estado_pago"/>
    <x:tableColumn id="25" name="reserva_proyecto"/>
    <x:tableColumn id="26" name="pdf_nombre"/>
    <x:tableColumn id="27" name="observaciones"/>
    <x:tableColumn id="28" name="mostrar_web"/>
  </x:tableColumns>
  <x:tableStyleInfo name="TableStyleMedium2" showRowStripes="1"/>
</x:table>
</file>

<file path=xl/tables/table2.xml><?xml version="1.0" encoding="utf-8"?>
<x:table xmlns:x="http://schemas.openxmlformats.org/spreadsheetml/2006/main" id="2" name="tblBienesAsegurados" displayName="tblBienesAsegurados" ref="A1:Z20" headerRowCount="1">
  <x:tableColumns count="26">
    <x:tableColumn id="1" name="id_bien"/>
    <x:tableColumn id="2" name="id_poliza"/>
    <x:tableColumn id="3" name="item"/>
    <x:tableColumn id="4" name="placa"/>
    <x:tableColumn id="5" name="categoria"/>
    <x:tableColumn id="6" name="clase"/>
    <x:tableColumn id="7" name="marca"/>
    <x:tableColumn id="8" name="modelo"/>
    <x:tableColumn id="9" name="anio"/>
    <x:tableColumn id="10" name="color"/>
    <x:tableColumn id="11" name="codigo"/>
    <x:tableColumn id="12" name="chasis"/>
    <x:tableColumn id="13" name="motor"/>
    <x:tableColumn id="14" name="uso_vehiculo"/>
    <x:tableColumn id="15" name="ocupantes"/>
    <x:tableColumn id="16" name="dispositivo"/>
    <x:tableColumn id="17" name="reserva_proyecto"/>
    <x:tableColumn id="18" name="valor_asegurado"/>
    <x:tableColumn id="19" name="valor_accesorios"/>
    <x:tableColumn id="20" name="total_asegurado"/>
    <x:tableColumn id="21" name="deducible"/>
    <x:tableColumn id="22" name="estado_operativo"/>
    <x:tableColumn id="23" name="responsable_custodio"/>
    <x:tableColumn id="24" name="ubicacion"/>
    <x:tableColumn id="25" name="observaciones"/>
    <x:tableColumn id="26" name="mostrar_web"/>
  </x:tableColumns>
  <x:tableStyleInfo name="TableStyleMedium2" showRowStripes="1"/>
</x:table>
</file>

<file path=xl/tables/table3.xml><?xml version="1.0" encoding="utf-8"?>
<x:table xmlns:x="http://schemas.openxmlformats.org/spreadsheetml/2006/main" id="3" name="tblCoberturas" displayName="tblCoberturas" ref="A1:J6" headerRowCount="1">
  <x:tableColumns count="10">
    <x:tableColumn id="1" name="id_cobertura"/>
    <x:tableColumn id="2" name="id_poliza"/>
    <x:tableColumn id="3" name="id_bien"/>
    <x:tableColumn id="4" name="tipo_cobertura"/>
    <x:tableColumn id="5" name="nombre_cobertura"/>
    <x:tableColumn id="6" name="descripcion"/>
    <x:tableColumn id="7" name="limite_usd"/>
    <x:tableColumn id="8" name="deducible"/>
    <x:tableColumn id="9" name="aplica_a"/>
    <x:tableColumn id="10" name="mostrar_web"/>
  </x:tableColumns>
  <x:tableStyleInfo name="TableStyleMedium2" showRowStripes="1"/>
</x:table>
</file>

<file path=xl/tables/table4.xml><?xml version="1.0" encoding="utf-8"?>
<x:table xmlns:x="http://schemas.openxmlformats.org/spreadsheetml/2006/main" id="4" name="tblAsistencia" displayName="tblAsistencia" ref="A1:J3" headerRowCount="1">
  <x:tableColumns count="10">
    <x:tableColumn id="1" name="id_asistencia"/>
    <x:tableColumn id="2" name="proveedor"/>
    <x:tableColumn id="3" name="servicio"/>
    <x:tableColumn id="4" name="telefono_principal"/>
    <x:tableColumn id="5" name="telefono_secundario"/>
    <x:tableColumn id="6" name="horario"/>
    <x:tableColumn id="7" name="descripcion"/>
    <x:tableColumn id="8" name="condiciones"/>
    <x:tableColumn id="9" name="mostrar_web"/>
    <x:tableColumn id="10" name="orden"/>
  </x:tableColumns>
  <x:tableStyleInfo name="TableStyleMedium2" showRowStripes="1"/>
</x:table>
</file>

<file path=xl/tables/table5.xml><?xml version="1.0" encoding="utf-8"?>
<x:table xmlns:x="http://schemas.openxmlformats.org/spreadsheetml/2006/main" id="5" name="tblProcedimientoSiniestro" displayName="tblProcedimientoSiniestro" ref="A1:H7" headerRowCount="1">
  <x:tableColumns count="8">
    <x:tableColumn id="1" name="id_paso"/>
    <x:tableColumn id="2" name="orden"/>
    <x:tableColumn id="3" name="titulo"/>
    <x:tableColumn id="4" name="descripcion"/>
    <x:tableColumn id="5" name="tipo"/>
    <x:tableColumn id="6" name="icono"/>
    <x:tableColumn id="7" name="aplica_a"/>
    <x:tableColumn id="8" name="mostrar_web"/>
  </x:tableColumns>
  <x:tableStyleInfo name="TableStyleMedium2" showRowStripes="1"/>
</x:table>
</file>

<file path=xl/tables/table6.xml><?xml version="1.0" encoding="utf-8"?>
<x:table xmlns:x="http://schemas.openxmlformats.org/spreadsheetml/2006/main" id="6" name="tblDocumentosRequeridos" displayName="tblDocumentosRequeridos" ref="A1:G7" headerRowCount="1">
  <x:tableColumns count="7">
    <x:tableColumn id="1" name="id_documento"/>
    <x:tableColumn id="2" name="documento"/>
    <x:tableColumn id="3" name="descripcion"/>
    <x:tableColumn id="4" name="obligatorio"/>
    <x:tableColumn id="5" name="aplica_a"/>
    <x:tableColumn id="6" name="orden"/>
    <x:tableColumn id="7" name="mostrar_web"/>
  </x:tableColumns>
  <x:tableStyleInfo name="TableStyleMedium2" showRowStripes="1"/>
</x:table>
</file>

<file path=xl/tables/table7.xml><?xml version="1.0" encoding="utf-8"?>
<x:table xmlns:x="http://schemas.openxmlformats.org/spreadsheetml/2006/main" id="7" name="tblFAQ" displayName="tblFAQ" ref="A1:F5" headerRowCount="1">
  <x:tableColumns count="6">
    <x:tableColumn id="1" name="id_faq"/>
    <x:tableColumn id="2" name="pregunta"/>
    <x:tableColumn id="3" name="respuesta"/>
    <x:tableColumn id="4" name="categoria"/>
    <x:tableColumn id="5" name="orden"/>
    <x:tableColumn id="6" name="mostrar_web"/>
  </x:tableColumns>
  <x:tableStyleInfo name="TableStyleMedium2" showRowStripes="1"/>
</x:table>
</file>

<file path=xl/tables/table8.xml><?xml version="1.0" encoding="utf-8"?>
<x:table xmlns:x="http://schemas.openxmlformats.org/spreadsheetml/2006/main" id="8" name="tblVideos" displayName="tblVideos" ref="A1:H3" headerRowCount="1">
  <x:tableColumns count="8">
    <x:tableColumn id="1" name="id_video"/>
    <x:tableColumn id="2" name="titulo"/>
    <x:tableColumn id="3" name="descripcion"/>
    <x:tableColumn id="4" name="archivo_repo"/>
    <x:tableColumn id="5" name="miniatura_repo"/>
    <x:tableColumn id="6" name="categoria"/>
    <x:tableColumn id="7" name="orden"/>
    <x:tableColumn id="8" name="mostrar_web"/>
  </x:tableColumns>
  <x:tableStyleInfo name="TableStyleMedium2" showRowStripes="1"/>
</x:table>
</file>

<file path=xl/tables/table9.xml><?xml version="1.0" encoding="utf-8"?>
<x:table xmlns:x="http://schemas.openxmlformats.org/spreadsheetml/2006/main" id="9" name="tblConfigWeb" displayName="tblConfigWeb" ref="A1:E7" headerRowCount="1">
  <x:tableColumns count="5">
    <x:tableColumn id="1" name="clave"/>
    <x:tableColumn id="2" name="valor"/>
    <x:tableColumn id="3" name="grupo"/>
    <x:tableColumn id="4" name="tipo"/>
    <x:tableColumn id="5" name="activo"/>
  </x:tableColumns>
  <x:tableStyleInfo name="TableStyleMedium2" showRowStripes="1"/>
</x:table>
</file>

<file path=xl/tables/table10.xml><?xml version="1.0" encoding="utf-8"?>
<x:table xmlns:x="http://schemas.openxmlformats.org/spreadsheetml/2006/main" id="10" name="tblCatalogos" displayName="tblCatalogos" ref="A1:E9" headerRowCount="1">
  <x:tableColumns count="5">
    <x:tableColumn id="1" name="tipo_catalogo"/>
    <x:tableColumn id="2" name="codigo"/>
    <x:tableColumn id="3" name="nombre"/>
    <x:tableColumn id="4" name="orden"/>
    <x:tableColumn id="5" name="activ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50f9647ab0843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b8c6355c5cd4e2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afd9800ed3c419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f4744aead354fc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aedbe2bfb7c4a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0af43a5a9ee04dd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896ba1d7e8e47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03f023c13c99433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ede5b04f6ba2462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f5fd20d440c545c1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 ht="30" customHeight="1">
      <x:c r="A1" s="5" t="str">
        <x:v>FIAS – Base de Datos de Seguro Vehicular</x:v>
      </x:c>
      <x:c r="B1" s="5" t="str"/>
      <x:c r="C1" s="5" t="str"/>
      <x:c r="D1" s="5" t="str"/>
      <x:c r="E1" s="5" t="str"/>
      <x:c r="F1" s="5" t="str"/>
      <x:c r="G1" s="5" t="str"/>
      <x:c r="H1" s="5" t="str"/>
    </x:row>
    <x:row r="2" ht="25" customHeight="1">
      <x:c r="A2" s="13" t="str">
        <x:v>Plantilla maestra para sincronizar OneDrive/SharePoint con GitHub Actions y publicar JSON dinámico.</x:v>
      </x:c>
      <x:c r="B2" s="13" t="str"/>
      <x:c r="C2" s="13" t="str"/>
      <x:c r="D2" s="13" t="str"/>
      <x:c r="E2" s="13" t="str"/>
      <x:c r="F2" s="13" t="str"/>
      <x:c r="G2" s="13" t="str"/>
      <x:c r="H2" s="13" t="str"/>
    </x:row>
    <x:row r="4">
      <x:c r="A4" s="19" t="str">
        <x:v>Indicador</x:v>
      </x:c>
      <x:c r="B4" s="19" t="str">
        <x:v>Fórmula / valor</x:v>
      </x:c>
    </x:row>
    <x:row r="5">
      <x:c r="A5" t="str">
        <x:v>Total pólizas</x:v>
      </x:c>
      <x:c r="B5" t="n">
        <x:f>COUNTA('01_Polizas'!A2:A1000)</x:f>
        <x:v>13</x:v>
      </x:c>
    </x:row>
    <x:row r="6">
      <x:c r="A6" t="str">
        <x:v>Total bienes asegurados</x:v>
      </x:c>
      <x:c r="B6" s="22" t="n">
        <x:f>COUNTA('02_Bienes_Asegurados'!A2:A1000)</x:f>
        <x:v>19</x:v>
      </x:c>
    </x:row>
    <x:row r="7">
      <x:c r="A7" t="str">
        <x:v>Suma asegurada pólizas</x:v>
      </x:c>
      <x:c r="B7" s="22" t="n">
        <x:f>SUM('01_Polizas'!N2:N1000)</x:f>
        <x:v>227612.19</x:v>
      </x:c>
    </x:row>
    <x:row r="8">
      <x:c r="A8" t="str">
        <x:v>Total pagado</x:v>
      </x:c>
      <x:c r="B8" t="n">
        <x:f>SUM('01_Polizas'!U2:U1000)</x:f>
        <x:v>7713.8099999999995</x:v>
      </x:c>
    </x:row>
    <x:row r="9">
      <x:c r="A9" t="str">
        <x:v>Motos</x:v>
      </x:c>
      <x:c r="B9" t="n">
        <x:f>COUNTIF('02_Bienes_Asegurados'!E2:E1000,"Moto")</x:f>
        <x:v>11</x:v>
      </x:c>
    </x:row>
    <x:row r="10">
      <x:c r="A10" t="str">
        <x:v>Camionetas</x:v>
      </x:c>
      <x:c r="B10" t="n">
        <x:f>COUNTIF('02_Bienes_Asegurados'!E2:E1000,"Camioneta")</x:f>
        <x:v>5</x:v>
      </x:c>
    </x:row>
    <x:row r="11">
      <x:c r="A11" t="str">
        <x:v>Jeep/SUV</x:v>
      </x:c>
      <x:c r="B11" t="n">
        <x:f>COUNTIF('02_Bienes_Asegurados'!E2:E1000,"Jeep/SUV")</x:f>
        <x:v>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26" t="str">
        <x:v>Sección</x:v>
      </x:c>
      <x:c r="B1" s="26" t="str">
        <x:v>Instrucción</x:v>
      </x:c>
    </x:row>
    <x:row r="2">
      <x:c r="A2" t="str">
        <x:v>Objetivo</x:v>
      </x:c>
      <x:c r="B2" t="str">
        <x:v>Editar este Excel en OneDrive. GitHub Actions lo descarga, lo transforma a JSON y actualiza la web.</x:v>
      </x:c>
    </x:row>
    <x:row r="3">
      <x:c r="A3" t="str">
        <x:v>Regla 1</x:v>
      </x:c>
      <x:c r="B3" t="str">
        <x:v>No cambiar nombres de hojas ni encabezados.</x:v>
      </x:c>
    </x:row>
    <x:row r="4">
      <x:c r="A4" t="str">
        <x:v>Regla 2</x:v>
      </x:c>
      <x:c r="B4" t="str">
        <x:v>No usar celdas combinadas dentro de las tablas.</x:v>
      </x:c>
    </x:row>
    <x:row r="5">
      <x:c r="A5" t="str">
        <x:v>Regla 3</x:v>
      </x:c>
      <x:c r="B5" t="str">
        <x:v>Usar fechas en formato YYYY-MM-DD.</x:v>
      </x:c>
    </x:row>
    <x:row r="6">
      <x:c r="A6" t="str">
        <x:v>Regla 4</x:v>
      </x:c>
      <x:c r="B6" t="str">
        <x:v>Valores económicos como números, sin símbolo $ ni separador de miles.</x:v>
      </x:c>
    </x:row>
    <x:row r="7">
      <x:c r="A7" t="str">
        <x:v>Regla 5</x:v>
      </x:c>
      <x:c r="B7" t="str">
        <x:v>Cada id_poliza debe ser único.</x:v>
      </x:c>
    </x:row>
    <x:row r="8">
      <x:c r="A8" t="str">
        <x:v>Regla 6</x:v>
      </x:c>
      <x:c r="B8" t="str">
        <x:v>Cada id_bien debe ser único y debe referenciar una id_poliza existente.</x:v>
      </x:c>
    </x:row>
    <x:row r="9">
      <x:c r="A9" t="str">
        <x:v>Regla 7</x:v>
      </x:c>
      <x:c r="B9" t="str">
        <x:v>Usar mostrar_web = SI para publicar o NO para ocultar.</x:v>
      </x:c>
    </x:row>
    <x:row r="10">
      <x:c r="A10" t="str">
        <x:v>Videos</x:v>
      </x:c>
      <x:c r="B10" t="str">
        <x:v>Los videos van en el repositorio GitHub en assets/videos/. En el Excel solo se registra la ruta.</x:v>
      </x:c>
    </x:row>
    <x:row r="11">
      <x:c r="A11" t="str">
        <x:v>Actualización</x:v>
      </x:c>
      <x:c r="B11" t="str">
        <x:v>Ejecutar el workflow Actualizar datos Seguro Vehicular FIAS o esperar la programación cada 6 horas.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8" hidden="0" customWidth="1"/>
    <x:col min="19" max="19" width="16" hidden="0" customWidth="1"/>
    <x:col min="20" max="20" width="18" hidden="0" customWidth="1"/>
    <x:col min="21" max="21" width="18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40" hidden="0" customWidth="1"/>
    <x:col min="28" max="28" width="14" hidden="0" customWidth="1"/>
  </x:cols>
  <x:sheetData>
    <x:row r="1" ht="28" customHeight="1">
      <x:c r="A1" s="29" t="str">
        <x:v>id_poliza</x:v>
      </x:c>
      <x:c r="B1" s="29" t="str">
        <x:v>poliza_numero</x:v>
      </x:c>
      <x:c r="C1" s="29" t="str">
        <x:v>ramo</x:v>
      </x:c>
      <x:c r="D1" s="29" t="str">
        <x:v>documento</x:v>
      </x:c>
      <x:c r="E1" s="29" t="str">
        <x:v>anexo</x:v>
      </x:c>
      <x:c r="F1" s="29" t="str">
        <x:v>renovacion</x:v>
      </x:c>
      <x:c r="G1" s="29" t="str">
        <x:v>aseguradora</x:v>
      </x:c>
      <x:c r="H1" s="29" t="str">
        <x:v>asegurado</x:v>
      </x:c>
      <x:c r="I1" s="29" t="str">
        <x:v>ruc_asegurado</x:v>
      </x:c>
      <x:c r="J1" s="29" t="str">
        <x:v>emision</x:v>
      </x:c>
      <x:c r="K1" s="29" t="str">
        <x:v>vig_desde</x:v>
      </x:c>
      <x:c r="L1" s="29" t="str">
        <x:v>vig_hasta</x:v>
      </x:c>
      <x:c r="M1" s="29" t="str">
        <x:v>plazo_dias</x:v>
      </x:c>
      <x:c r="N1" s="29" t="str">
        <x:v>suma_asegurada_poliza</x:v>
      </x:c>
      <x:c r="O1" s="29" t="str">
        <x:v>prima</x:v>
      </x:c>
      <x:c r="P1" s="29" t="str">
        <x:v>scvs</x:v>
      </x:c>
      <x:c r="Q1" s="29" t="str">
        <x:v>derechos_emision</x:v>
      </x:c>
      <x:c r="R1" s="29" t="str">
        <x:v>otros</x:v>
      </x:c>
      <x:c r="S1" s="29" t="str">
        <x:v>seguro_campesino</x:v>
      </x:c>
      <x:c r="T1" s="29" t="str">
        <x:v>iva</x:v>
      </x:c>
      <x:c r="U1" s="29" t="str">
        <x:v>total_pagado</x:v>
      </x:c>
      <x:c r="V1" s="29" t="str">
        <x:v>moneda</x:v>
      </x:c>
      <x:c r="W1" s="29" t="str">
        <x:v>fecha_max_pago</x:v>
      </x:c>
      <x:c r="X1" s="29" t="str">
        <x:v>estado_pago</x:v>
      </x:c>
      <x:c r="Y1" s="29" t="str">
        <x:v>reserva_proyecto</x:v>
      </x:c>
      <x:c r="Z1" s="29" t="str">
        <x:v>pdf_nombre</x:v>
      </x:c>
      <x:c r="AA1" s="29" t="str">
        <x:v>observaciones</x:v>
      </x:c>
      <x:c r="AB1" s="29" t="str">
        <x:v>mostrar_web</x:v>
      </x:c>
    </x:row>
    <x:row r="2">
      <x:c r="A2" s="32" t="str">
        <x:v>VO-0201232</x:v>
      </x:c>
      <x:c r="B2" s="32" t="str">
        <x:v>201232</x:v>
      </x:c>
      <x:c r="C2" s="32" t="str">
        <x:v>VEHICULOS/MOTOS VO</x:v>
      </x:c>
      <x:c r="D2" s="32" t="str">
        <x:v>RENOVACION</x:v>
      </x:c>
      <x:c r="E2" s="32" t="str">
        <x:v>0</x:v>
      </x:c>
      <x:c r="F2" s="32" t="str"/>
      <x:c r="G2" s="32" t="str">
        <x:v>Aseguradora del Sur C.A.</x:v>
      </x:c>
      <x:c r="H2" s="32" t="str">
        <x:v>FONDO DE INVERSION AMBIENTAL SOSTENIBLE</x:v>
      </x:c>
      <x:c r="I2" s="32" t="str">
        <x:v>1792807999001</x:v>
      </x:c>
      <x:c r="J2" s="34" t="str">
        <x:v>2026-01-20</x:v>
      </x:c>
      <x:c r="K2" s="34" t="str">
        <x:v>2026-01-01</x:v>
      </x:c>
      <x:c r="L2" s="34" t="str">
        <x:v>2027-01-01</x:v>
      </x:c>
      <x:c r="M2" s="32" t="n">
        <x:v>365</x:v>
      </x:c>
      <x:c r="N2" s="36" t="n">
        <x:v>6000</x:v>
      </x:c>
      <x:c r="O2" s="36" t="str"/>
      <x:c r="P2" s="36" t="str"/>
      <x:c r="Q2" s="32" t="str"/>
      <x:c r="R2" s="36" t="str"/>
      <x:c r="S2" s="32" t="str"/>
      <x:c r="T2" s="36" t="str"/>
      <x:c r="U2" s="36" t="n">
        <x:v>359.95</x:v>
      </x:c>
      <x:c r="V2" s="32" t="str">
        <x:v>USD</x:v>
      </x:c>
      <x:c r="W2" s="34" t="str"/>
      <x:c r="X2" s="32" t="str"/>
      <x:c r="Y2" s="32" t="str">
        <x:v>REFUGIO DE VIDA SILVESTRE PACOCHE</x:v>
      </x:c>
      <x:c r="Z2" s="32" t="str">
        <x:v>9 FAP VH PACOCHE 201232.pdf</x:v>
      </x:c>
      <x:c r="AA2" s="32" t="str"/>
      <x:c r="AB2" s="32" t="str">
        <x:v>SI</x:v>
      </x:c>
    </x:row>
    <x:row r="3">
      <x:c r="A3" s="32" t="str">
        <x:v>VO-0201234</x:v>
      </x:c>
      <x:c r="B3" s="32" t="str">
        <x:v>201234</x:v>
      </x:c>
      <x:c r="C3" s="32" t="str">
        <x:v>VEHICULOS/MOTOS VO</x:v>
      </x:c>
      <x:c r="D3" s="32" t="str">
        <x:v>RENOVACION</x:v>
      </x:c>
      <x:c r="E3" s="32" t="str">
        <x:v>0</x:v>
      </x:c>
      <x:c r="F3" s="32" t="str"/>
      <x:c r="G3" s="32" t="str">
        <x:v>Aseguradora del Sur C.A.</x:v>
      </x:c>
      <x:c r="H3" s="32" t="str">
        <x:v>FONDO DE INVERSION AMBIENTAL SOSTENIBLE</x:v>
      </x:c>
      <x:c r="I3" s="32" t="str">
        <x:v>1792807999001</x:v>
      </x:c>
      <x:c r="J3" s="34" t="str">
        <x:v>2026-01-20</x:v>
      </x:c>
      <x:c r="K3" s="34" t="str">
        <x:v>2026-01-01</x:v>
      </x:c>
      <x:c r="L3" s="34" t="str">
        <x:v>2027-01-01</x:v>
      </x:c>
      <x:c r="M3" s="32" t="n">
        <x:v>365</x:v>
      </x:c>
      <x:c r="N3" s="36" t="n">
        <x:v>9270</x:v>
      </x:c>
      <x:c r="O3" s="36" t="str"/>
      <x:c r="P3" s="36" t="str"/>
      <x:c r="Q3" s="32" t="str"/>
      <x:c r="R3" s="36" t="str"/>
      <x:c r="S3" s="32" t="str"/>
      <x:c r="T3" s="36" t="str"/>
      <x:c r="U3" s="36" t="n">
        <x:v>539.35</x:v>
      </x:c>
      <x:c r="V3" s="32" t="str">
        <x:v>USD</x:v>
      </x:c>
      <x:c r="W3" s="34" t="str"/>
      <x:c r="X3" s="32" t="str"/>
      <x:c r="Y3" s="32" t="str">
        <x:v>PARQUE NACIONAL LLANGANATES</x:v>
      </x:c>
      <x:c r="Z3" s="32" t="str">
        <x:v>2 FAP LLANGANATES 201234.pdf</x:v>
      </x:c>
      <x:c r="AA3" s="32" t="str"/>
      <x:c r="AB3" s="32" t="str">
        <x:v>SI</x:v>
      </x:c>
    </x:row>
    <x:row r="4">
      <x:c r="A4" s="32" t="str">
        <x:v>VO-0201248</x:v>
      </x:c>
      <x:c r="B4" s="32" t="str">
        <x:v>201248</x:v>
      </x:c>
      <x:c r="C4" s="32" t="str">
        <x:v>VEHICULOS/MOTOS VO</x:v>
      </x:c>
      <x:c r="D4" s="32" t="str">
        <x:v>RENOVACION</x:v>
      </x:c>
      <x:c r="E4" s="32" t="str">
        <x:v>0</x:v>
      </x:c>
      <x:c r="F4" s="32" t="str"/>
      <x:c r="G4" s="32" t="str">
        <x:v>Aseguradora del Sur C.A.</x:v>
      </x:c>
      <x:c r="H4" s="32" t="str">
        <x:v>FONDO DE INVERSION AMBIENTAL SOSTENIBLE</x:v>
      </x:c>
      <x:c r="I4" s="32" t="str">
        <x:v>1792807999001</x:v>
      </x:c>
      <x:c r="J4" s="34" t="str">
        <x:v>2026-01-20</x:v>
      </x:c>
      <x:c r="K4" s="34" t="str">
        <x:v>2026-01-01</x:v>
      </x:c>
      <x:c r="L4" s="34" t="str">
        <x:v>2027-01-01</x:v>
      </x:c>
      <x:c r="M4" s="32" t="n">
        <x:v>365</x:v>
      </x:c>
      <x:c r="N4" s="36" t="n">
        <x:v>17000</x:v>
      </x:c>
      <x:c r="O4" s="36" t="str"/>
      <x:c r="P4" s="36" t="str"/>
      <x:c r="Q4" s="32" t="str"/>
      <x:c r="R4" s="36" t="str"/>
      <x:c r="S4" s="32" t="str"/>
      <x:c r="T4" s="36" t="str"/>
      <x:c r="U4" s="36" t="n">
        <x:v>816.73</x:v>
      </x:c>
      <x:c r="V4" s="32" t="str">
        <x:v>USD</x:v>
      </x:c>
      <x:c r="W4" s="34" t="str"/>
      <x:c r="X4" s="32" t="str"/>
      <x:c r="Y4" s="32" t="str">
        <x:v>RESERVA MARINA GALERAS SAN FRANCISCO</x:v>
      </x:c>
      <x:c r="Z4" s="32" t="str">
        <x:v>11 FAP SAN FRANCISCO MOTOS 201248.pdf</x:v>
      </x:c>
      <x:c r="AA4" s="32" t="str"/>
      <x:c r="AB4" s="32" t="str">
        <x:v>SI</x:v>
      </x:c>
    </x:row>
    <x:row r="5">
      <x:c r="A5" s="32" t="str">
        <x:v>VO-0201266</x:v>
      </x:c>
      <x:c r="B5" s="32" t="str">
        <x:v>201266</x:v>
      </x:c>
      <x:c r="C5" s="32" t="str">
        <x:v>VEHICULOS/MOTOS VO</x:v>
      </x:c>
      <x:c r="D5" s="32" t="str">
        <x:v>RENOVACION</x:v>
      </x:c>
      <x:c r="E5" s="32" t="str">
        <x:v>0</x:v>
      </x:c>
      <x:c r="F5" s="32" t="str"/>
      <x:c r="G5" s="32" t="str">
        <x:v>Aseguradora del Sur C.A.</x:v>
      </x:c>
      <x:c r="H5" s="32" t="str">
        <x:v>FONDO DE INVERSION AMBIENTAL SOSTENIBLE</x:v>
      </x:c>
      <x:c r="I5" s="32" t="str">
        <x:v>1792807999001</x:v>
      </x:c>
      <x:c r="J5" s="34" t="str">
        <x:v>2026-01-20</x:v>
      </x:c>
      <x:c r="K5" s="34" t="str">
        <x:v>2026-01-01</x:v>
      </x:c>
      <x:c r="L5" s="34" t="str">
        <x:v>2027-01-01</x:v>
      </x:c>
      <x:c r="M5" s="32" t="n">
        <x:v>365</x:v>
      </x:c>
      <x:c r="N5" s="36" t="n">
        <x:v>9000</x:v>
      </x:c>
      <x:c r="O5" s="36" t="str"/>
      <x:c r="P5" s="36" t="str"/>
      <x:c r="Q5" s="32" t="str"/>
      <x:c r="R5" s="36" t="str"/>
      <x:c r="S5" s="32" t="str"/>
      <x:c r="T5" s="36" t="str"/>
      <x:c r="U5" s="36" t="n">
        <x:v>539.35</x:v>
      </x:c>
      <x:c r="V5" s="32" t="str">
        <x:v>USD</x:v>
      </x:c>
      <x:c r="W5" s="34" t="str"/>
      <x:c r="X5" s="32" t="str"/>
      <x:c r="Y5" s="32" t="str">
        <x:v>REFUGIO DE VIDA SILVESTRE EL ZARZA</x:v>
      </x:c>
      <x:c r="Z5" s="32" t="str">
        <x:v>7 FAP EL ZARZA MOTO 201266.pdf</x:v>
      </x:c>
      <x:c r="AA5" s="32" t="str"/>
      <x:c r="AB5" s="32" t="str">
        <x:v>SI</x:v>
      </x:c>
    </x:row>
    <x:row r="6">
      <x:c r="A6" s="32" t="str">
        <x:v>VO-0201267</x:v>
      </x:c>
      <x:c r="B6" s="32" t="str">
        <x:v>201267</x:v>
      </x:c>
      <x:c r="C6" s="32" t="str">
        <x:v>VEHICULOS/MOTOS VO</x:v>
      </x:c>
      <x:c r="D6" s="32" t="str">
        <x:v>RENOVACION</x:v>
      </x:c>
      <x:c r="E6" s="32" t="str">
        <x:v>0</x:v>
      </x:c>
      <x:c r="F6" s="32" t="str"/>
      <x:c r="G6" s="32" t="str">
        <x:v>Aseguradora del Sur C.A.</x:v>
      </x:c>
      <x:c r="H6" s="32" t="str">
        <x:v>FONDO DE INVERSION AMBIENTAL SOSTENIBLE</x:v>
      </x:c>
      <x:c r="I6" s="32" t="str">
        <x:v>1792807999001</x:v>
      </x:c>
      <x:c r="J6" s="34" t="str">
        <x:v>2026-01-20</x:v>
      </x:c>
      <x:c r="K6" s="34" t="str">
        <x:v>2026-01-01</x:v>
      </x:c>
      <x:c r="L6" s="34" t="str">
        <x:v>2027-01-01</x:v>
      </x:c>
      <x:c r="M6" s="32" t="n">
        <x:v>365</x:v>
      </x:c>
      <x:c r="N6" s="36" t="n">
        <x:v>3000</x:v>
      </x:c>
      <x:c r="O6" s="36" t="str"/>
      <x:c r="P6" s="36" t="str"/>
      <x:c r="Q6" s="32" t="str"/>
      <x:c r="R6" s="36" t="str"/>
      <x:c r="S6" s="32" t="str"/>
      <x:c r="T6" s="36" t="str"/>
      <x:c r="U6" s="36" t="n">
        <x:v>179.98</x:v>
      </x:c>
      <x:c r="V6" s="32" t="str">
        <x:v>USD</x:v>
      </x:c>
      <x:c r="W6" s="34" t="str"/>
      <x:c r="X6" s="32" t="str"/>
      <x:c r="Y6" s="32" t="str">
        <x:v>PARQUE NACIONAL SANGAY</x:v>
      </x:c>
      <x:c r="Z6" s="32" t="str">
        <x:v>6 FAP SANGAY MOTO 201267.pdf</x:v>
      </x:c>
      <x:c r="AA6" s="32" t="str"/>
      <x:c r="AB6" s="32" t="str">
        <x:v>SI</x:v>
      </x:c>
    </x:row>
    <x:row r="7">
      <x:c r="A7" s="32" t="str">
        <x:v>VO-0201271</x:v>
      </x:c>
      <x:c r="B7" s="32" t="str">
        <x:v>201271</x:v>
      </x:c>
      <x:c r="C7" s="32" t="str">
        <x:v>VEHICULOS/MOTOS VO</x:v>
      </x:c>
      <x:c r="D7" s="32" t="str">
        <x:v>POLIZA</x:v>
      </x:c>
      <x:c r="E7" s="32" t="str">
        <x:v>0</x:v>
      </x:c>
      <x:c r="F7" s="32" t="str"/>
      <x:c r="G7" s="32" t="str">
        <x:v>Aseguradora del Sur C.A.</x:v>
      </x:c>
      <x:c r="H7" s="32" t="str">
        <x:v>FONDO DE INVERSION AMBIENTAL SOSTENIBLE</x:v>
      </x:c>
      <x:c r="I7" s="32" t="str">
        <x:v>1792807999001</x:v>
      </x:c>
      <x:c r="J7" s="34" t="str">
        <x:v>2026-01-20</x:v>
      </x:c>
      <x:c r="K7" s="34" t="str">
        <x:v>2026-01-01</x:v>
      </x:c>
      <x:c r="L7" s="34" t="str">
        <x:v>2027-01-01</x:v>
      </x:c>
      <x:c r="M7" s="32" t="n">
        <x:v>365</x:v>
      </x:c>
      <x:c r="N7" s="36" t="n">
        <x:v>1300</x:v>
      </x:c>
      <x:c r="O7" s="36" t="str"/>
      <x:c r="P7" s="36" t="str"/>
      <x:c r="Q7" s="32" t="str"/>
      <x:c r="R7" s="36" t="str"/>
      <x:c r="S7" s="32" t="str"/>
      <x:c r="T7" s="36" t="str"/>
      <x:c r="U7" s="36" t="n">
        <x:v>179.98</x:v>
      </x:c>
      <x:c r="V7" s="32" t="str">
        <x:v>USD</x:v>
      </x:c>
      <x:c r="W7" s="34" t="str"/>
      <x:c r="X7" s="32" t="str"/>
      <x:c r="Y7" s="32" t="str">
        <x:v>RESERVA SANTA ELENA</x:v>
      </x:c>
      <x:c r="Z7" s="32" t="str">
        <x:v>12 FAP STA ELENA MOTO 201271.pdf</x:v>
      </x:c>
      <x:c r="AA7" s="32" t="str"/>
      <x:c r="AB7" s="32" t="str">
        <x:v>SI</x:v>
      </x:c>
    </x:row>
    <x:row r="8">
      <x:c r="A8" s="32" t="str">
        <x:v>VO-0201291</x:v>
      </x:c>
      <x:c r="B8" s="32" t="str">
        <x:v>201291</x:v>
      </x:c>
      <x:c r="C8" s="32" t="str">
        <x:v>VEHICULOS/MOTOS VO</x:v>
      </x:c>
      <x:c r="D8" s="32" t="str">
        <x:v>POLIZA</x:v>
      </x:c>
      <x:c r="E8" s="32" t="str">
        <x:v>0</x:v>
      </x:c>
      <x:c r="F8" s="32" t="str"/>
      <x:c r="G8" s="32" t="str">
        <x:v>Aseguradora del Sur C.A.</x:v>
      </x:c>
      <x:c r="H8" s="32" t="str">
        <x:v>FONDO DE INVERSION AMBIENTAL SOSTENIBLE</x:v>
      </x:c>
      <x:c r="I8" s="32" t="str">
        <x:v>1792807999001</x:v>
      </x:c>
      <x:c r="J8" s="34" t="str">
        <x:v>2026-01-26</x:v>
      </x:c>
      <x:c r="K8" s="34" t="str">
        <x:v>2026-01-15</x:v>
      </x:c>
      <x:c r="L8" s="34" t="str">
        <x:v>2027-01-01</x:v>
      </x:c>
      <x:c r="M8" s="32" t="n">
        <x:v>351</x:v>
      </x:c>
      <x:c r="N8" s="36" t="n">
        <x:v>4749.99</x:v>
      </x:c>
      <x:c r="O8" s="36" t="str"/>
      <x:c r="P8" s="36" t="str"/>
      <x:c r="Q8" s="32" t="str"/>
      <x:c r="R8" s="36" t="str"/>
      <x:c r="S8" s="32" t="str"/>
      <x:c r="T8" s="36" t="str"/>
      <x:c r="U8" s="36" t="n">
        <x:v>219.09</x:v>
      </x:c>
      <x:c r="V8" s="32" t="str">
        <x:v>USD</x:v>
      </x:c>
      <x:c r="W8" s="34" t="str"/>
      <x:c r="X8" s="32" t="str"/>
      <x:c r="Y8" s="32" t="str">
        <x:v>RESERVA MARINA PUERTO CABUYAL</x:v>
      </x:c>
      <x:c r="Z8" s="32" t="str">
        <x:v>14 MOTO 201291.pdf</x:v>
      </x:c>
      <x:c r="AA8" s="32" t="str"/>
      <x:c r="AB8" s="32" t="str">
        <x:v>SI</x:v>
      </x:c>
    </x:row>
    <x:row r="9">
      <x:c r="A9" s="32" t="str">
        <x:v>VP-0205090</x:v>
      </x:c>
      <x:c r="B9" s="32" t="str">
        <x:v>205090</x:v>
      </x:c>
      <x:c r="C9" s="32" t="str">
        <x:v>VP BIZ</x:v>
      </x:c>
      <x:c r="D9" s="32" t="str">
        <x:v>RENOVACION</x:v>
      </x:c>
      <x:c r="E9" s="32" t="str">
        <x:v>0</x:v>
      </x:c>
      <x:c r="F9" s="32" t="str"/>
      <x:c r="G9" s="32" t="str">
        <x:v>Aseguradora del Sur C.A.</x:v>
      </x:c>
      <x:c r="H9" s="32" t="str">
        <x:v>FONDO DE INVERSION AMBIENTAL SOSTENIBLE</x:v>
      </x:c>
      <x:c r="I9" s="32" t="str">
        <x:v>1792807999001</x:v>
      </x:c>
      <x:c r="J9" s="34" t="str">
        <x:v>2026-01-20</x:v>
      </x:c>
      <x:c r="K9" s="34" t="str">
        <x:v>2026-01-01</x:v>
      </x:c>
      <x:c r="L9" s="34" t="str">
        <x:v>2027-01-01</x:v>
      </x:c>
      <x:c r="M9" s="32" t="n">
        <x:v>365</x:v>
      </x:c>
      <x:c r="N9" s="36" t="n">
        <x:v>14000</x:v>
      </x:c>
      <x:c r="O9" s="36" t="str"/>
      <x:c r="P9" s="36" t="str"/>
      <x:c r="Q9" s="32" t="str"/>
      <x:c r="R9" s="36" t="str"/>
      <x:c r="S9" s="32" t="str"/>
      <x:c r="T9" s="36" t="str"/>
      <x:c r="U9" s="36" t="n">
        <x:v>383.96</x:v>
      </x:c>
      <x:c r="V9" s="32" t="str">
        <x:v>USD</x:v>
      </x:c>
      <x:c r="W9" s="34" t="str"/>
      <x:c r="X9" s="32" t="str"/>
      <x:c r="Y9" s="32" t="str">
        <x:v>PASF II</x:v>
      </x:c>
      <x:c r="Z9" s="32" t="str">
        <x:v>20 PASF II 205090.pdf</x:v>
      </x:c>
      <x:c r="AA9" s="32" t="str"/>
      <x:c r="AB9" s="32" t="str">
        <x:v>SI</x:v>
      </x:c>
    </x:row>
    <x:row r="10">
      <x:c r="A10" s="32" t="str">
        <x:v>VP-0205092</x:v>
      </x:c>
      <x:c r="B10" s="32" t="str">
        <x:v>205092</x:v>
      </x:c>
      <x:c r="C10" s="32" t="str">
        <x:v>VP BIZ</x:v>
      </x:c>
      <x:c r="D10" s="32" t="str">
        <x:v>RENOVACION</x:v>
      </x:c>
      <x:c r="E10" s="32" t="str">
        <x:v>0</x:v>
      </x:c>
      <x:c r="F10" s="32" t="str"/>
      <x:c r="G10" s="32" t="str">
        <x:v>Aseguradora del Sur C.A.</x:v>
      </x:c>
      <x:c r="H10" s="32" t="str">
        <x:v>FONDO DE INVERSION AMBIENTAL SOSTENIBLE</x:v>
      </x:c>
      <x:c r="I10" s="32" t="str">
        <x:v>1792807999001</x:v>
      </x:c>
      <x:c r="J10" s="34" t="str">
        <x:v>2026-01-20</x:v>
      </x:c>
      <x:c r="K10" s="34" t="str">
        <x:v>2026-01-01</x:v>
      </x:c>
      <x:c r="L10" s="34" t="str">
        <x:v>2027-01-01</x:v>
      </x:c>
      <x:c r="M10" s="32" t="n">
        <x:v>365</x:v>
      </x:c>
      <x:c r="N10" s="36" t="n">
        <x:v>48710.7</x:v>
      </x:c>
      <x:c r="O10" s="36" t="str"/>
      <x:c r="P10" s="36" t="str"/>
      <x:c r="Q10" s="32" t="str"/>
      <x:c r="R10" s="36" t="str"/>
      <x:c r="S10" s="32" t="str"/>
      <x:c r="T10" s="36" t="str"/>
      <x:c r="U10" s="36" t="n">
        <x:v>1341.16</x:v>
      </x:c>
      <x:c r="V10" s="32" t="str">
        <x:v>USD</x:v>
      </x:c>
      <x:c r="W10" s="34" t="str"/>
      <x:c r="X10" s="32" t="str"/>
      <x:c r="Y10" s="32" t="str">
        <x:v>PASF II</x:v>
      </x:c>
      <x:c r="Z10" s="32" t="str">
        <x:v>19 PASF II 205092.pdf</x:v>
      </x:c>
      <x:c r="AA10" s="32" t="str"/>
      <x:c r="AB10" s="32" t="str">
        <x:v>SI</x:v>
      </x:c>
    </x:row>
    <x:row r="11">
      <x:c r="A11" s="32" t="str">
        <x:v>VP-0205277</x:v>
      </x:c>
      <x:c r="B11" s="32" t="str">
        <x:v>205277</x:v>
      </x:c>
      <x:c r="C11" s="32" t="str">
        <x:v>VP BIZ</x:v>
      </x:c>
      <x:c r="D11" s="32" t="str">
        <x:v>RENOVACION</x:v>
      </x:c>
      <x:c r="E11" s="32" t="str">
        <x:v>0</x:v>
      </x:c>
      <x:c r="F11" s="32" t="str"/>
      <x:c r="G11" s="32" t="str">
        <x:v>Aseguradora del Sur C.A.</x:v>
      </x:c>
      <x:c r="H11" s="32" t="str">
        <x:v>FONDO DE INVERSION AMBIENTAL SOSTENIBLE</x:v>
      </x:c>
      <x:c r="I11" s="32" t="str">
        <x:v>1792807999001</x:v>
      </x:c>
      <x:c r="J11" s="34" t="str">
        <x:v>2026-01-20</x:v>
      </x:c>
      <x:c r="K11" s="34" t="str">
        <x:v>2026-01-01</x:v>
      </x:c>
      <x:c r="L11" s="34" t="str">
        <x:v>2027-01-01</x:v>
      </x:c>
      <x:c r="M11" s="32" t="n">
        <x:v>365</x:v>
      </x:c>
      <x:c r="N11" s="36" t="n">
        <x:v>27000</x:v>
      </x:c>
      <x:c r="O11" s="36" t="str"/>
      <x:c r="P11" s="36" t="str"/>
      <x:c r="Q11" s="32" t="str"/>
      <x:c r="R11" s="36" t="str"/>
      <x:c r="S11" s="32" t="str"/>
      <x:c r="T11" s="36" t="str"/>
      <x:c r="U11" s="36" t="n">
        <x:v>743.88</x:v>
      </x:c>
      <x:c r="V11" s="32" t="str">
        <x:v>USD</x:v>
      </x:c>
      <x:c r="W11" s="34" t="str"/>
      <x:c r="X11" s="32" t="str"/>
      <x:c r="Y11" s="32" t="str">
        <x:v>REFUGIO DE VIDA SILVESTRE EL MORRO</x:v>
      </x:c>
      <x:c r="Z11" s="32" t="str">
        <x:v>13 FAP VP EL MORRO 205277.pdf</x:v>
      </x:c>
      <x:c r="AA11" s="32" t="str"/>
      <x:c r="AB11" s="32" t="str">
        <x:v>SI</x:v>
      </x:c>
    </x:row>
    <x:row r="12">
      <x:c r="A12" s="32" t="str">
        <x:v>VP-0205359</x:v>
      </x:c>
      <x:c r="B12" s="32" t="str">
        <x:v>205359</x:v>
      </x:c>
      <x:c r="C12" s="32" t="str">
        <x:v>VP BIZ</x:v>
      </x:c>
      <x:c r="D12" s="32" t="str">
        <x:v>RENOVACION</x:v>
      </x:c>
      <x:c r="E12" s="32" t="str">
        <x:v>0</x:v>
      </x:c>
      <x:c r="F12" s="32" t="str"/>
      <x:c r="G12" s="32" t="str">
        <x:v>Aseguradora del Sur C.A.</x:v>
      </x:c>
      <x:c r="H12" s="32" t="str">
        <x:v>FONDO DE INVERSION AMBIENTAL SOSTENIBLE</x:v>
      </x:c>
      <x:c r="I12" s="32" t="str">
        <x:v>1792807999001</x:v>
      </x:c>
      <x:c r="J12" s="34" t="str">
        <x:v>2026-01-19</x:v>
      </x:c>
      <x:c r="K12" s="34" t="str">
        <x:v>2026-01-01</x:v>
      </x:c>
      <x:c r="L12" s="34" t="str">
        <x:v>2027-01-01</x:v>
      </x:c>
      <x:c r="M12" s="32" t="n">
        <x:v>365</x:v>
      </x:c>
      <x:c r="N12" s="36" t="n">
        <x:v>30181.5</x:v>
      </x:c>
      <x:c r="O12" s="36" t="str"/>
      <x:c r="P12" s="36" t="str"/>
      <x:c r="Q12" s="32" t="str"/>
      <x:c r="R12" s="36" t="str"/>
      <x:c r="S12" s="32" t="str"/>
      <x:c r="T12" s="36" t="str"/>
      <x:c r="U12" s="36" t="n">
        <x:v>831.4</x:v>
      </x:c>
      <x:c r="V12" s="32" t="str">
        <x:v>USD</x:v>
      </x:c>
      <x:c r="W12" s="34" t="str"/>
      <x:c r="X12" s="32" t="str"/>
      <x:c r="Y12" s="32" t="str">
        <x:v>PARQUE NACIONAL ANTISANA</x:v>
      </x:c>
      <x:c r="Z12" s="32" t="str">
        <x:v>3 FAP ANTISANA 205359.pdf</x:v>
      </x:c>
      <x:c r="AA12" s="32" t="str"/>
      <x:c r="AB12" s="32" t="str">
        <x:v>SI</x:v>
      </x:c>
    </x:row>
    <x:row r="13">
      <x:c r="A13" s="32" t="str">
        <x:v>VP-0205415</x:v>
      </x:c>
      <x:c r="B13" s="32" t="str">
        <x:v>205415</x:v>
      </x:c>
      <x:c r="C13" s="32" t="str">
        <x:v>VP BIZ</x:v>
      </x:c>
      <x:c r="D13" s="32" t="str">
        <x:v>RENOVACION</x:v>
      </x:c>
      <x:c r="E13" s="32" t="str">
        <x:v>0</x:v>
      </x:c>
      <x:c r="F13" s="32" t="str"/>
      <x:c r="G13" s="32" t="str">
        <x:v>Aseguradora del Sur C.A.</x:v>
      </x:c>
      <x:c r="H13" s="32" t="str">
        <x:v>FONDO DE INVERSION AMBIENTAL SOSTENIBLE</x:v>
      </x:c>
      <x:c r="I13" s="32" t="str">
        <x:v>1792807999001</x:v>
      </x:c>
      <x:c r="J13" s="34" t="str">
        <x:v>2026-01-19</x:v>
      </x:c>
      <x:c r="K13" s="34" t="str">
        <x:v>2026-01-01</x:v>
      </x:c>
      <x:c r="L13" s="34" t="str">
        <x:v>2027-01-01</x:v>
      </x:c>
      <x:c r="M13" s="32" t="n">
        <x:v>365</x:v>
      </x:c>
      <x:c r="N13" s="36" t="n">
        <x:v>37000</x:v>
      </x:c>
      <x:c r="O13" s="36" t="str"/>
      <x:c r="P13" s="36" t="str"/>
      <x:c r="Q13" s="32" t="str"/>
      <x:c r="R13" s="36" t="str"/>
      <x:c r="S13" s="32" t="str"/>
      <x:c r="T13" s="36" t="str"/>
      <x:c r="U13" s="36" t="n">
        <x:v>1018.96</x:v>
      </x:c>
      <x:c r="V13" s="32" t="str">
        <x:v>USD</x:v>
      </x:c>
      <x:c r="W13" s="34" t="str"/>
      <x:c r="X13" s="32" t="str"/>
      <x:c r="Y13" s="32" t="str">
        <x:v>FIAS / VEHÍCULO INSTITUCIONAL</x:v>
      </x:c>
      <x:c r="Z13" s="32" t="str">
        <x:v>205415.pdf</x:v>
      </x:c>
      <x:c r="AA13" s="32" t="str"/>
      <x:c r="AB13" s="32" t="str">
        <x:v>SI</x:v>
      </x:c>
    </x:row>
    <x:row r="14">
      <x:c r="A14" s="32" t="str">
        <x:v>VP-0205468</x:v>
      </x:c>
      <x:c r="B14" s="32" t="str">
        <x:v>205468</x:v>
      </x:c>
      <x:c r="C14" s="32" t="str">
        <x:v>VP BIZ</x:v>
      </x:c>
      <x:c r="D14" s="32" t="str">
        <x:v>RENOVACION</x:v>
      </x:c>
      <x:c r="E14" s="32" t="str">
        <x:v>0</x:v>
      </x:c>
      <x:c r="F14" s="32" t="str"/>
      <x:c r="G14" s="32" t="str">
        <x:v>Aseguradora del Sur C.A.</x:v>
      </x:c>
      <x:c r="H14" s="32" t="str">
        <x:v>FONDO DE INVERSION AMBIENTAL SOSTENIBLE</x:v>
      </x:c>
      <x:c r="I14" s="32" t="str">
        <x:v>1792807999001</x:v>
      </x:c>
      <x:c r="J14" s="34" t="str">
        <x:v>2026-01-19</x:v>
      </x:c>
      <x:c r="K14" s="34" t="str">
        <x:v>2026-01-01</x:v>
      </x:c>
      <x:c r="L14" s="34" t="str">
        <x:v>2027-01-01</x:v>
      </x:c>
      <x:c r="M14" s="32" t="n">
        <x:v>365</x:v>
      </x:c>
      <x:c r="N14" s="36" t="n">
        <x:v>20400</x:v>
      </x:c>
      <x:c r="O14" s="36" t="str"/>
      <x:c r="P14" s="36" t="str"/>
      <x:c r="Q14" s="32" t="str"/>
      <x:c r="R14" s="36" t="str"/>
      <x:c r="S14" s="32" t="str"/>
      <x:c r="T14" s="36" t="str"/>
      <x:c r="U14" s="36" t="n">
        <x:v>560.02</x:v>
      </x:c>
      <x:c r="V14" s="32" t="str">
        <x:v>USD</x:v>
      </x:c>
      <x:c r="W14" s="34" t="str"/>
      <x:c r="X14" s="32" t="str"/>
      <x:c r="Y14" s="32" t="str">
        <x:v>PARQUE NACIONAL MACHALILLA</x:v>
      </x:c>
      <x:c r="Z14" s="32" t="str">
        <x:v>4 FAP - MACHALILLA VH POLIZA 205468.pdf</x:v>
      </x:c>
      <x:c r="AA14" s="32" t="str"/>
      <x:c r="AB14" s="32" t="str">
        <x:v>SI</x:v>
      </x:c>
    </x:row>
  </x:sheetData>
  <x:dataValidations count="1">
    <x:dataValidation type="list" sqref="AB2:AB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0f9647ab08432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4" hidden="0" customWidth="1"/>
    <x:col min="5" max="5" width="16" hidden="0" customWidth="1"/>
    <x:col min="6" max="6" width="16" hidden="0" customWidth="1"/>
    <x:col min="7" max="7" width="16" hidden="0" customWidth="1"/>
    <x:col min="8" max="8" width="4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8" hidden="0" customWidth="1"/>
    <x:col min="19" max="19" width="18" hidden="0" customWidth="1"/>
    <x:col min="20" max="20" width="18" hidden="0" customWidth="1"/>
    <x:col min="21" max="21" width="40" hidden="0" customWidth="1"/>
    <x:col min="22" max="22" width="16" hidden="0" customWidth="1"/>
    <x:col min="23" max="23" width="16" hidden="0" customWidth="1"/>
    <x:col min="24" max="24" width="16" hidden="0" customWidth="1"/>
    <x:col min="25" max="25" width="40" hidden="0" customWidth="1"/>
    <x:col min="26" max="26" width="14" hidden="0" customWidth="1"/>
  </x:cols>
  <x:sheetData>
    <x:row r="1" ht="28" customHeight="1">
      <x:c r="A1" s="29" t="str">
        <x:v>id_bien</x:v>
      </x:c>
      <x:c r="B1" s="29" t="str">
        <x:v>id_poliza</x:v>
      </x:c>
      <x:c r="C1" s="29" t="str">
        <x:v>item</x:v>
      </x:c>
      <x:c r="D1" s="29" t="str">
        <x:v>placa</x:v>
      </x:c>
      <x:c r="E1" s="29" t="str">
        <x:v>categoria</x:v>
      </x:c>
      <x:c r="F1" s="29" t="str">
        <x:v>clase</x:v>
      </x:c>
      <x:c r="G1" s="29" t="str">
        <x:v>marca</x:v>
      </x:c>
      <x:c r="H1" s="29" t="str">
        <x:v>modelo</x:v>
      </x:c>
      <x:c r="I1" s="29" t="str">
        <x:v>anio</x:v>
      </x:c>
      <x:c r="J1" s="29" t="str">
        <x:v>color</x:v>
      </x:c>
      <x:c r="K1" s="29" t="str">
        <x:v>codigo</x:v>
      </x:c>
      <x:c r="L1" s="29" t="str">
        <x:v>chasis</x:v>
      </x:c>
      <x:c r="M1" s="29" t="str">
        <x:v>motor</x:v>
      </x:c>
      <x:c r="N1" s="29" t="str">
        <x:v>uso_vehiculo</x:v>
      </x:c>
      <x:c r="O1" s="29" t="str">
        <x:v>ocupantes</x:v>
      </x:c>
      <x:c r="P1" s="29" t="str">
        <x:v>dispositivo</x:v>
      </x:c>
      <x:c r="Q1" s="29" t="str">
        <x:v>reserva_proyecto</x:v>
      </x:c>
      <x:c r="R1" s="29" t="str">
        <x:v>valor_asegurado</x:v>
      </x:c>
      <x:c r="S1" s="29" t="str">
        <x:v>valor_accesorios</x:v>
      </x:c>
      <x:c r="T1" s="29" t="str">
        <x:v>total_asegurado</x:v>
      </x:c>
      <x:c r="U1" s="29" t="str">
        <x:v>deducible</x:v>
      </x:c>
      <x:c r="V1" s="29" t="str">
        <x:v>estado_operativo</x:v>
      </x:c>
      <x:c r="W1" s="29" t="str">
        <x:v>responsable_custodio</x:v>
      </x:c>
      <x:c r="X1" s="29" t="str">
        <x:v>ubicacion</x:v>
      </x:c>
      <x:c r="Y1" s="29" t="str">
        <x:v>observaciones</x:v>
      </x:c>
      <x:c r="Z1" s="29" t="str">
        <x:v>mostrar_web</x:v>
      </x:c>
    </x:row>
    <x:row r="2">
      <x:c r="A2" s="32" t="str">
        <x:v>JH265K</x:v>
      </x:c>
      <x:c r="B2" s="32" t="str">
        <x:v>VO-0201232</x:v>
      </x:c>
      <x:c r="C2" s="32" t="str">
        <x:v>1</x:v>
      </x:c>
      <x:c r="D2" s="32" t="str">
        <x:v>JH265K</x:v>
      </x:c>
      <x:c r="E2" s="32" t="str">
        <x:v>Moto</x:v>
      </x:c>
      <x:c r="F2" s="32" t="str">
        <x:v>OCUPANTES Y CONDUCTOR:</x:v>
      </x:c>
      <x:c r="G2" s="32" t="str">
        <x:v>HONDA</x:v>
      </x:c>
      <x:c r="H2" s="32" t="str">
        <x:v>XR190L</x:v>
      </x:c>
      <x:c r="I2" s="32" t="n">
        <x:v>2021</x:v>
      </x:c>
      <x:c r="J2" s="32" t="str">
        <x:v>ROJO</x:v>
      </x:c>
      <x:c r="K2" s="32" t="str">
        <x:v>H85221</x:v>
      </x:c>
      <x:c r="L2" s="32" t="str">
        <x:v>LALMD4391M3102535</x:v>
      </x:c>
      <x:c r="M2" s="32" t="str">
        <x:v>MD43E2025401</x:v>
      </x:c>
      <x:c r="N2" s="32" t="str">
        <x:v>PARTICULAR</x:v>
      </x:c>
      <x:c r="O2" s="32" t="n">
        <x:v>1</x:v>
      </x:c>
      <x:c r="P2" s="32" t="str">
        <x:v>NINGUNO</x:v>
      </x:c>
      <x:c r="Q2" s="32" t="str">
        <x:v>REFUGIO DE VIDA SILVESTRE PACOCHE</x:v>
      </x:c>
      <x:c r="R2" s="36" t="n">
        <x:v>3000</x:v>
      </x:c>
      <x:c r="S2" s="36" t="n">
        <x:v>0</x:v>
      </x:c>
      <x:c r="T2" s="36" t="n">
        <x:v>3000</x:v>
      </x:c>
      <x:c r="U2" s="32" t="str">
        <x:v>TODO RIESGO · 20% valor del siniestro, mínimo USD $200,00</x:v>
      </x:c>
      <x:c r="V2" s="32" t="str">
        <x:v>Activo</x:v>
      </x:c>
      <x:c r="W2" s="32" t="str"/>
      <x:c r="X2" s="32" t="str">
        <x:v>REFUGIO DE VIDA SILVESTRE PACOCHE</x:v>
      </x:c>
      <x:c r="Y2" s="32" t="str"/>
      <x:c r="Z2" s="32" t="str">
        <x:v>SI</x:v>
      </x:c>
    </x:row>
    <x:row r="3">
      <x:c r="A3" s="32" t="str">
        <x:v>JH264K</x:v>
      </x:c>
      <x:c r="B3" s="32" t="str">
        <x:v>VO-0201232</x:v>
      </x:c>
      <x:c r="C3" s="32" t="str">
        <x:v>2</x:v>
      </x:c>
      <x:c r="D3" s="32" t="str">
        <x:v>JH264K</x:v>
      </x:c>
      <x:c r="E3" s="32" t="str">
        <x:v>Moto</x:v>
      </x:c>
      <x:c r="F3" s="32" t="str">
        <x:v>OCUPANTES Y CONDUCTOR:</x:v>
      </x:c>
      <x:c r="G3" s="32" t="str">
        <x:v>HONDA</x:v>
      </x:c>
      <x:c r="H3" s="32" t="str">
        <x:v>XR190L</x:v>
      </x:c>
      <x:c r="I3" s="32" t="n">
        <x:v>2021</x:v>
      </x:c>
      <x:c r="J3" s="32" t="str">
        <x:v>ROJA</x:v>
      </x:c>
      <x:c r="K3" s="32" t="str">
        <x:v>AÑO : 2021</x:v>
      </x:c>
      <x:c r="L3" s="32" t="str">
        <x:v>LALMD4395M3102540</x:v>
      </x:c>
      <x:c r="M3" s="32" t="str">
        <x:v>MD43E2025399</x:v>
      </x:c>
      <x:c r="N3" s="32" t="str">
        <x:v>PARTICULAR</x:v>
      </x:c>
      <x:c r="O3" s="32" t="n">
        <x:v>1</x:v>
      </x:c>
      <x:c r="P3" s="32" t="str">
        <x:v>NINGUNO</x:v>
      </x:c>
      <x:c r="Q3" s="32" t="str">
        <x:v>REFUGIO DE VIDA SILVESTRE PACOCHE</x:v>
      </x:c>
      <x:c r="R3" s="36" t="n">
        <x:v>3000</x:v>
      </x:c>
      <x:c r="S3" s="36" t="n">
        <x:v>0</x:v>
      </x:c>
      <x:c r="T3" s="36" t="n">
        <x:v>3000</x:v>
      </x:c>
      <x:c r="U3" s="32" t="str">
        <x:v>TODO RIESGO · 20% valor del siniestro, mínimo USD $200,00</x:v>
      </x:c>
      <x:c r="V3" s="32" t="str">
        <x:v>Activo</x:v>
      </x:c>
      <x:c r="W3" s="32" t="str"/>
      <x:c r="X3" s="32" t="str">
        <x:v>REFUGIO DE VIDA SILVESTRE PACOCHE</x:v>
      </x:c>
      <x:c r="Y3" s="32" t="str"/>
      <x:c r="Z3" s="32" t="str">
        <x:v>SI</x:v>
      </x:c>
    </x:row>
    <x:row r="4">
      <x:c r="A4" s="32" t="str">
        <x:v>JW414N</x:v>
      </x:c>
      <x:c r="B4" s="32" t="str">
        <x:v>VO-0201234</x:v>
      </x:c>
      <x:c r="C4" s="32" t="str">
        <x:v>1</x:v>
      </x:c>
      <x:c r="D4" s="32" t="str">
        <x:v>JW414N</x:v>
      </x:c>
      <x:c r="E4" s="32" t="str">
        <x:v>Moto</x:v>
      </x:c>
      <x:c r="F4" s="32" t="str">
        <x:v>OCUPANTES Y CONDUCTOR:</x:v>
      </x:c>
      <x:c r="G4" s="32" t="str">
        <x:v>HONDA</x:v>
      </x:c>
      <x:c r="H4" s="32" t="str">
        <x:v>XR190L</x:v>
      </x:c>
      <x:c r="I4" s="32" t="n">
        <x:v>2022</x:v>
      </x:c>
      <x:c r="J4" s="32" t="str">
        <x:v>ROJO</x:v>
      </x:c>
      <x:c r="K4" s="32" t="str">
        <x:v>AÑO : 2022</x:v>
      </x:c>
      <x:c r="L4" s="32" t="str">
        <x:v>LALMD4394N3123672</x:v>
      </x:c>
      <x:c r="M4" s="32" t="str">
        <x:v>MD43E2058896</x:v>
      </x:c>
      <x:c r="N4" s="32" t="str">
        <x:v>PARTICULAR</x:v>
      </x:c>
      <x:c r="O4" s="32" t="n">
        <x:v>1</x:v>
      </x:c>
      <x:c r="P4" s="32" t="str">
        <x:v>NINGUNO</x:v>
      </x:c>
      <x:c r="Q4" s="32" t="str">
        <x:v>PARQUE NACIONAL LLANGANATES</x:v>
      </x:c>
      <x:c r="R4" s="36" t="n">
        <x:v>3000</x:v>
      </x:c>
      <x:c r="S4" s="36" t="n">
        <x:v>90</x:v>
      </x:c>
      <x:c r="T4" s="36" t="n">
        <x:v>3090</x:v>
      </x:c>
      <x:c r="U4" s="32" t="str">
        <x:v>TODO RIESGO · 20% valor del siniestro, mínimo USD $200,00</x:v>
      </x:c>
      <x:c r="V4" s="32" t="str">
        <x:v>Activo</x:v>
      </x:c>
      <x:c r="W4" s="32" t="str"/>
      <x:c r="X4" s="32" t="str">
        <x:v>PARQUE NACIONAL LLANGANATES</x:v>
      </x:c>
      <x:c r="Y4" s="32" t="str"/>
      <x:c r="Z4" s="32" t="str">
        <x:v>SI</x:v>
      </x:c>
    </x:row>
    <x:row r="5">
      <x:c r="A5" s="32" t="str">
        <x:v>JW472N</x:v>
      </x:c>
      <x:c r="B5" s="32" t="str">
        <x:v>VO-0201234</x:v>
      </x:c>
      <x:c r="C5" s="32" t="str">
        <x:v>2</x:v>
      </x:c>
      <x:c r="D5" s="32" t="str">
        <x:v>JW472N</x:v>
      </x:c>
      <x:c r="E5" s="32" t="str">
        <x:v>Moto</x:v>
      </x:c>
      <x:c r="F5" s="32" t="str">
        <x:v>OCUPANTES Y CONDUCTOR:</x:v>
      </x:c>
      <x:c r="G5" s="32" t="str">
        <x:v>HONDA</x:v>
      </x:c>
      <x:c r="H5" s="32" t="str">
        <x:v>XR190L</x:v>
      </x:c>
      <x:c r="I5" s="32" t="n">
        <x:v>2022</x:v>
      </x:c>
      <x:c r="J5" s="32" t="str">
        <x:v>ROJO</x:v>
      </x:c>
      <x:c r="K5" s="32" t="str">
        <x:v>H85221</x:v>
      </x:c>
      <x:c r="L5" s="32" t="str">
        <x:v>LALMD439XN3112059</x:v>
      </x:c>
      <x:c r="M5" s="32" t="str">
        <x:v>MD43E2046982</x:v>
      </x:c>
      <x:c r="N5" s="32" t="str">
        <x:v>PARTICULAR</x:v>
      </x:c>
      <x:c r="O5" s="32" t="n">
        <x:v>1</x:v>
      </x:c>
      <x:c r="P5" s="32" t="str">
        <x:v>NINGUNO</x:v>
      </x:c>
      <x:c r="Q5" s="32" t="str">
        <x:v>PARQUE NACIONAL LLANGANATES</x:v>
      </x:c>
      <x:c r="R5" s="36" t="n">
        <x:v>3000</x:v>
      </x:c>
      <x:c r="S5" s="36" t="n">
        <x:v>90</x:v>
      </x:c>
      <x:c r="T5" s="36" t="n">
        <x:v>3090</x:v>
      </x:c>
      <x:c r="U5" s="32" t="str">
        <x:v>TODO RIESGO · 20% valor del siniestro, mínimo USD $200,00 · 3</x:v>
      </x:c>
      <x:c r="V5" s="32" t="str">
        <x:v>Activo</x:v>
      </x:c>
      <x:c r="W5" s="32" t="str"/>
      <x:c r="X5" s="32" t="str">
        <x:v>PARQUE NACIONAL LLANGANATES</x:v>
      </x:c>
      <x:c r="Y5" s="32" t="str"/>
      <x:c r="Z5" s="32" t="str">
        <x:v>SI</x:v>
      </x:c>
    </x:row>
    <x:row r="6">
      <x:c r="A6" s="32" t="str">
        <x:v>JW473N</x:v>
      </x:c>
      <x:c r="B6" s="32" t="str">
        <x:v>VO-0201234</x:v>
      </x:c>
      <x:c r="C6" s="32" t="str">
        <x:v>3</x:v>
      </x:c>
      <x:c r="D6" s="32" t="str">
        <x:v>JW473N</x:v>
      </x:c>
      <x:c r="E6" s="32" t="str">
        <x:v>Moto</x:v>
      </x:c>
      <x:c r="F6" s="32" t="str">
        <x:v>OCUPANTES Y CONDUCTOR:</x:v>
      </x:c>
      <x:c r="G6" s="32" t="str">
        <x:v>HONDA</x:v>
      </x:c>
      <x:c r="H6" s="32" t="str">
        <x:v>XR190L</x:v>
      </x:c>
      <x:c r="I6" s="32" t="n">
        <x:v>2022</x:v>
      </x:c>
      <x:c r="J6" s="32" t="str">
        <x:v>ROJO</x:v>
      </x:c>
      <x:c r="K6" s="32" t="str">
        <x:v>AÑO : 2022</x:v>
      </x:c>
      <x:c r="L6" s="32" t="str">
        <x:v>LALMD4397N3120040</x:v>
      </x:c>
      <x:c r="M6" s="32" t="str">
        <x:v>MD43E2055154</x:v>
      </x:c>
      <x:c r="N6" s="32" t="str">
        <x:v>PARTICULAR</x:v>
      </x:c>
      <x:c r="O6" s="32" t="n">
        <x:v>1</x:v>
      </x:c>
      <x:c r="P6" s="32" t="str">
        <x:v>NINGUNO</x:v>
      </x:c>
      <x:c r="Q6" s="32" t="str">
        <x:v>PARQUE NACIONAL LLANGANATES</x:v>
      </x:c>
      <x:c r="R6" s="36" t="n">
        <x:v>3000</x:v>
      </x:c>
      <x:c r="S6" s="36" t="n">
        <x:v>90</x:v>
      </x:c>
      <x:c r="T6" s="36" t="n">
        <x:v>3090</x:v>
      </x:c>
      <x:c r="U6" s="32" t="str">
        <x:v>TODO RIESGO · 3</x:v>
      </x:c>
      <x:c r="V6" s="32" t="str">
        <x:v>Activo</x:v>
      </x:c>
      <x:c r="W6" s="32" t="str"/>
      <x:c r="X6" s="32" t="str">
        <x:v>PARQUE NACIONAL LLANGANATES</x:v>
      </x:c>
      <x:c r="Y6" s="32" t="str"/>
      <x:c r="Z6" s="32" t="str">
        <x:v>SI</x:v>
      </x:c>
    </x:row>
    <x:row r="7">
      <x:c r="A7" s="32" t="str">
        <x:v>JS836T</x:v>
      </x:c>
      <x:c r="B7" s="32" t="str">
        <x:v>VO-0201248</x:v>
      </x:c>
      <x:c r="C7" s="32" t="str">
        <x:v>1</x:v>
      </x:c>
      <x:c r="D7" s="32" t="str">
        <x:v>JS836T</x:v>
      </x:c>
      <x:c r="E7" s="32" t="str">
        <x:v>Cuadrón</x:v>
      </x:c>
      <x:c r="F7" s="32" t="str">
        <x:v>OCUPANTES Y CONDUCTOR:</x:v>
      </x:c>
      <x:c r="G7" s="32" t="str">
        <x:v>HONDA</x:v>
      </x:c>
      <x:c r="H7" s="32" t="str">
        <x:v>SXS520M2</x:v>
      </x:c>
      <x:c r="I7" s="32" t="n">
        <x:v>2022</x:v>
      </x:c>
      <x:c r="J7" s="32" t="str">
        <x:v>ROJO</x:v>
      </x:c>
      <x:c r="K7" s="32" t="str">
        <x:v>JS836T</x:v>
      </x:c>
      <x:c r="L7" s="32" t="str">
        <x:v>1HFVE07U8N4700225</x:v>
      </x:c>
      <x:c r="M7" s="32" t="str">
        <x:v>VE07E8102274</x:v>
      </x:c>
      <x:c r="N7" s="32" t="str">
        <x:v>PARTICULAR</x:v>
      </x:c>
      <x:c r="O7" s="32" t="n">
        <x:v>2</x:v>
      </x:c>
      <x:c r="P7" s="32" t="str">
        <x:v>NINGUNO</x:v>
      </x:c>
      <x:c r="Q7" s="32" t="str">
        <x:v>RESERVA MARINA GALERAS SAN FRANCISCO</x:v>
      </x:c>
      <x:c r="R7" s="36" t="n">
        <x:v>17000</x:v>
      </x:c>
      <x:c r="S7" s="36" t="n">
        <x:v>0</x:v>
      </x:c>
      <x:c r="T7" s="36" t="n">
        <x:v>17000</x:v>
      </x:c>
      <x:c r="U7" s="32" t="str">
        <x:v>Pérdida parcial por choque o robo: · 20% valor del siniestro, 2% v/a, mínimo US $ 200,00 (EL MAYOR DE LOS TRES) · Perdida total por choque o robo: · 25% del valor asegurado</x:v>
      </x:c>
      <x:c r="V7" s="32" t="str">
        <x:v>Activo</x:v>
      </x:c>
      <x:c r="W7" s="32" t="str"/>
      <x:c r="X7" s="32" t="str">
        <x:v>RESERVA MARINA GALERAS SAN FRANCISCO</x:v>
      </x:c>
      <x:c r="Y7" s="32" t="str"/>
      <x:c r="Z7" s="32" t="str">
        <x:v>SI</x:v>
      </x:c>
    </x:row>
    <x:row r="8">
      <x:c r="A8" s="32" t="str">
        <x:v>JG997V</x:v>
      </x:c>
      <x:c r="B8" s="32" t="str">
        <x:v>VO-0201266</x:v>
      </x:c>
      <x:c r="C8" s="32" t="str">
        <x:v>1</x:v>
      </x:c>
      <x:c r="D8" s="32" t="str">
        <x:v>JG997V</x:v>
      </x:c>
      <x:c r="E8" s="32" t="str">
        <x:v>Moto</x:v>
      </x:c>
      <x:c r="F8" s="32" t="str">
        <x:v>OCUPANTES Y CONDUCTOR:</x:v>
      </x:c>
      <x:c r="G8" s="32" t="str">
        <x:v>HONDA</x:v>
      </x:c>
      <x:c r="H8" s="32" t="str">
        <x:v>XR190L</x:v>
      </x:c>
      <x:c r="I8" s="32" t="n">
        <x:v>2022</x:v>
      </x:c>
      <x:c r="J8" s="32" t="str">
        <x:v>BLANCO</x:v>
      </x:c>
      <x:c r="K8" s="32" t="str">
        <x:v>AÑO : 2022</x:v>
      </x:c>
      <x:c r="L8" s="32" t="str">
        <x:v>LALMD4390N3108554</x:v>
      </x:c>
      <x:c r="M8" s="32" t="str">
        <x:v>MD43E2043480</x:v>
      </x:c>
      <x:c r="N8" s="32" t="str">
        <x:v>PARTICULAR</x:v>
      </x:c>
      <x:c r="O8" s="32" t="n">
        <x:v>1</x:v>
      </x:c>
      <x:c r="P8" s="32" t="str">
        <x:v>NINGUNO</x:v>
      </x:c>
      <x:c r="Q8" s="32" t="str">
        <x:v>REFUGIO DE VIDA SILVESTRE EL ZARZA</x:v>
      </x:c>
      <x:c r="R8" s="36" t="n">
        <x:v>3000</x:v>
      </x:c>
      <x:c r="S8" s="36" t="n">
        <x:v>0</x:v>
      </x:c>
      <x:c r="T8" s="36" t="n">
        <x:v>3000</x:v>
      </x:c>
      <x:c r="U8" s="32" t="str">
        <x:v>Todo riesgo · 20% v.s , min USD 200 (EL MAYOR DE LOS DOS)</x:v>
      </x:c>
      <x:c r="V8" s="32" t="str">
        <x:v>Activo</x:v>
      </x:c>
      <x:c r="W8" s="32" t="str"/>
      <x:c r="X8" s="32" t="str">
        <x:v>REFUGIO DE VIDA SILVESTRE EL ZARZA</x:v>
      </x:c>
      <x:c r="Y8" s="32" t="str"/>
      <x:c r="Z8" s="32" t="str">
        <x:v>SI</x:v>
      </x:c>
    </x:row>
    <x:row r="9">
      <x:c r="A9" s="32" t="str">
        <x:v>JG996V</x:v>
      </x:c>
      <x:c r="B9" s="32" t="str">
        <x:v>VO-0201266</x:v>
      </x:c>
      <x:c r="C9" s="32" t="str">
        <x:v>2</x:v>
      </x:c>
      <x:c r="D9" s="32" t="str">
        <x:v>JG996V</x:v>
      </x:c>
      <x:c r="E9" s="32" t="str">
        <x:v>Moto</x:v>
      </x:c>
      <x:c r="F9" s="32" t="str">
        <x:v>OCUPANTES Y CONDUCTOR:</x:v>
      </x:c>
      <x:c r="G9" s="32" t="str">
        <x:v>HONDA</x:v>
      </x:c>
      <x:c r="H9" s="32" t="str">
        <x:v>XR190L</x:v>
      </x:c>
      <x:c r="I9" s="32" t="n">
        <x:v>2022</x:v>
      </x:c>
      <x:c r="J9" s="32" t="str">
        <x:v>BLANCO</x:v>
      </x:c>
      <x:c r="K9" s="32" t="str">
        <x:v>AÑO : 2022</x:v>
      </x:c>
      <x:c r="L9" s="32" t="str">
        <x:v>LALMD439XN3108559</x:v>
      </x:c>
      <x:c r="M9" s="32" t="str">
        <x:v>MD43E2043485</x:v>
      </x:c>
      <x:c r="N9" s="32" t="str">
        <x:v>PARTICULAR</x:v>
      </x:c>
      <x:c r="O9" s="32" t="n">
        <x:v>1</x:v>
      </x:c>
      <x:c r="P9" s="32" t="str">
        <x:v>NINGUNO</x:v>
      </x:c>
      <x:c r="Q9" s="32" t="str">
        <x:v>REFUGIO DE VIDA SILVESTRE EL ZARZA</x:v>
      </x:c>
      <x:c r="R9" s="36" t="n">
        <x:v>3000</x:v>
      </x:c>
      <x:c r="S9" s="36" t="n">
        <x:v>0</x:v>
      </x:c>
      <x:c r="T9" s="36" t="n">
        <x:v>3000</x:v>
      </x:c>
      <x:c r="U9" s="32" t="str">
        <x:v>Todo riesgo · 20% v.s , min USD 200 (EL MAYOR DE LOS DOS)</x:v>
      </x:c>
      <x:c r="V9" s="32" t="str">
        <x:v>Activo</x:v>
      </x:c>
      <x:c r="W9" s="32" t="str"/>
      <x:c r="X9" s="32" t="str">
        <x:v>REFUGIO DE VIDA SILVESTRE EL ZARZA</x:v>
      </x:c>
      <x:c r="Y9" s="32" t="str"/>
      <x:c r="Z9" s="32" t="str">
        <x:v>SI</x:v>
      </x:c>
    </x:row>
    <x:row r="10">
      <x:c r="A10" s="32" t="str">
        <x:v>JG995V</x:v>
      </x:c>
      <x:c r="B10" s="32" t="str">
        <x:v>VO-0201266</x:v>
      </x:c>
      <x:c r="C10" s="32" t="str">
        <x:v>3</x:v>
      </x:c>
      <x:c r="D10" s="32" t="str">
        <x:v>JG995V</x:v>
      </x:c>
      <x:c r="E10" s="32" t="str">
        <x:v>Moto</x:v>
      </x:c>
      <x:c r="F10" s="32" t="str">
        <x:v>OCUPANTES Y CONDUCTOR:</x:v>
      </x:c>
      <x:c r="G10" s="32" t="str">
        <x:v>HONDA</x:v>
      </x:c>
      <x:c r="H10" s="32" t="str">
        <x:v>XR190L</x:v>
      </x:c>
      <x:c r="I10" s="32" t="n">
        <x:v>2022</x:v>
      </x:c>
      <x:c r="J10" s="32" t="str">
        <x:v>ROJO</x:v>
      </x:c>
      <x:c r="K10" s="32" t="str">
        <x:v>AÑO : 2022</x:v>
      </x:c>
      <x:c r="L10" s="32" t="str">
        <x:v>LALMD4394N3108850</x:v>
      </x:c>
      <x:c r="M10" s="32" t="str">
        <x:v>MD43E2043709</x:v>
      </x:c>
      <x:c r="N10" s="32" t="str">
        <x:v>PARTICULAR</x:v>
      </x:c>
      <x:c r="O10" s="32" t="n">
        <x:v>1</x:v>
      </x:c>
      <x:c r="P10" s="32" t="str">
        <x:v>NINGUNO</x:v>
      </x:c>
      <x:c r="Q10" s="32" t="str">
        <x:v>REFUGIO DE VIDA SILVESTRE EL ZARZA</x:v>
      </x:c>
      <x:c r="R10" s="36" t="n">
        <x:v>3000</x:v>
      </x:c>
      <x:c r="S10" s="36" t="n">
        <x:v>0</x:v>
      </x:c>
      <x:c r="T10" s="36" t="n">
        <x:v>3000</x:v>
      </x:c>
      <x:c r="U10" s="32" t="str">
        <x:v>Todo riesgo · 20% v.s , min USD 200 (EL MAYOR DE LOS DOS)</x:v>
      </x:c>
      <x:c r="V10" s="32" t="str">
        <x:v>Activo</x:v>
      </x:c>
      <x:c r="W10" s="32" t="str"/>
      <x:c r="X10" s="32" t="str">
        <x:v>REFUGIO DE VIDA SILVESTRE EL ZARZA</x:v>
      </x:c>
      <x:c r="Y10" s="32" t="str"/>
      <x:c r="Z10" s="32" t="str">
        <x:v>SI</x:v>
      </x:c>
    </x:row>
    <x:row r="11">
      <x:c r="A11" s="32" t="str">
        <x:v>JW415N</x:v>
      </x:c>
      <x:c r="B11" s="32" t="str">
        <x:v>VO-0201267</x:v>
      </x:c>
      <x:c r="C11" s="32" t="str">
        <x:v>1</x:v>
      </x:c>
      <x:c r="D11" s="32" t="str">
        <x:v>JW415N</x:v>
      </x:c>
      <x:c r="E11" s="32" t="str">
        <x:v>Moto</x:v>
      </x:c>
      <x:c r="F11" s="32" t="str">
        <x:v>OCUPANTES Y CONDUCTOR:</x:v>
      </x:c>
      <x:c r="G11" s="32" t="str">
        <x:v>HONDA</x:v>
      </x:c>
      <x:c r="H11" s="32" t="str">
        <x:v>XR190L</x:v>
      </x:c>
      <x:c r="I11" s="32" t="n">
        <x:v>2022</x:v>
      </x:c>
      <x:c r="J11" s="32" t="str">
        <x:v>ROJO</x:v>
      </x:c>
      <x:c r="K11" s="32" t="str">
        <x:v>AÑO : 2022</x:v>
      </x:c>
      <x:c r="L11" s="32" t="str">
        <x:v>LALMD4398N3120046</x:v>
      </x:c>
      <x:c r="M11" s="32" t="str">
        <x:v>MD43E2055160</x:v>
      </x:c>
      <x:c r="N11" s="32" t="str">
        <x:v>PARTICULAR</x:v>
      </x:c>
      <x:c r="O11" s="32" t="n">
        <x:v>1</x:v>
      </x:c>
      <x:c r="P11" s="32" t="str">
        <x:v>NINGUNO</x:v>
      </x:c>
      <x:c r="Q11" s="32" t="str">
        <x:v>PARQUE NACIONAL SANGAY</x:v>
      </x:c>
      <x:c r="R11" s="36" t="n">
        <x:v>3000</x:v>
      </x:c>
      <x:c r="S11" s="36" t="n">
        <x:v>0</x:v>
      </x:c>
      <x:c r="T11" s="36" t="n">
        <x:v>3000</x:v>
      </x:c>
      <x:c r="U11" s="32" t="str">
        <x:v>TODO RIESGO · 20% valor del siniestro, mínimo USD $200,00</x:v>
      </x:c>
      <x:c r="V11" s="32" t="str">
        <x:v>Activo</x:v>
      </x:c>
      <x:c r="W11" s="32" t="str"/>
      <x:c r="X11" s="32" t="str">
        <x:v>PARQUE NACIONAL SANGAY</x:v>
      </x:c>
      <x:c r="Y11" s="32" t="str"/>
      <x:c r="Z11" s="32" t="str">
        <x:v>SI</x:v>
      </x:c>
    </x:row>
    <x:row r="12">
      <x:c r="A12" s="32" t="str">
        <x:v>JJ835T</x:v>
      </x:c>
      <x:c r="B12" s="32" t="str">
        <x:v>VO-0201271</x:v>
      </x:c>
      <x:c r="C12" s="32" t="str">
        <x:v>1</x:v>
      </x:c>
      <x:c r="D12" s="32" t="str">
        <x:v>JJ835T</x:v>
      </x:c>
      <x:c r="E12" s="32" t="str">
        <x:v>Moto</x:v>
      </x:c>
      <x:c r="F12" s="32" t="str">
        <x:v>OCUPANTES Y CONDUCTOR:</x:v>
      </x:c>
      <x:c r="G12" s="32" t="str">
        <x:v>DAYTONA</x:v>
      </x:c>
      <x:c r="H12" s="32" t="str">
        <x:v>DY200 FORCE DS</x:v>
      </x:c>
      <x:c r="I12" s="32" t="n">
        <x:v>2022</x:v>
      </x:c>
      <x:c r="J12" s="32" t="str">
        <x:v>BLANCO</x:v>
      </x:c>
      <x:c r="K12" s="32" t="str">
        <x:v>OPLAAA</x:v>
      </x:c>
      <x:c r="L12" s="32" t="str">
        <x:v>LHJYJLLA4NB441275</x:v>
      </x:c>
      <x:c r="M12" s="32" t="str">
        <x:v>169FML22B00154</x:v>
      </x:c>
      <x:c r="N12" s="32" t="str">
        <x:v>PARTICULAR</x:v>
      </x:c>
      <x:c r="O12" s="32" t="n">
        <x:v>1</x:v>
      </x:c>
      <x:c r="P12" s="32" t="str">
        <x:v>NINGUNO</x:v>
      </x:c>
      <x:c r="Q12" s="32" t="str">
        <x:v>RESERVA SANTA ELENA</x:v>
      </x:c>
      <x:c r="R12" s="36" t="n">
        <x:v>1300</x:v>
      </x:c>
      <x:c r="S12" s="36" t="n">
        <x:v>0</x:v>
      </x:c>
      <x:c r="T12" s="36" t="n">
        <x:v>1300</x:v>
      </x:c>
      <x:c r="U12" s="32" t="str">
        <x:v>10% DEL VALOR DEL SINIESTRO , MINIMO USD $ 250,00 ( EL MAYOR DE LOS DOS)</x:v>
      </x:c>
      <x:c r="V12" s="32" t="str">
        <x:v>Activo</x:v>
      </x:c>
      <x:c r="W12" s="32" t="str"/>
      <x:c r="X12" s="32" t="str">
        <x:v>RESERVA SANTA ELENA</x:v>
      </x:c>
      <x:c r="Y12" s="32" t="str"/>
      <x:c r="Z12" s="32" t="str">
        <x:v>SI</x:v>
      </x:c>
    </x:row>
    <x:row r="13">
      <x:c r="A13" s="32" t="str">
        <x:v>KR449O</x:v>
      </x:c>
      <x:c r="B13" s="32" t="str">
        <x:v>VO-0201291</x:v>
      </x:c>
      <x:c r="C13" s="32" t="str">
        <x:v>1</x:v>
      </x:c>
      <x:c r="D13" s="32" t="str">
        <x:v>KR449O</x:v>
      </x:c>
      <x:c r="E13" s="32" t="str">
        <x:v>Moto</x:v>
      </x:c>
      <x:c r="F13" s="32" t="str">
        <x:v>OCUPANTES Y CONDUCTOR:</x:v>
      </x:c>
      <x:c r="G13" s="32" t="str">
        <x:v>HONDA</x:v>
      </x:c>
      <x:c r="H13" s="32" t="str">
        <x:v>XR190L</x:v>
      </x:c>
      <x:c r="I13" s="32" t="n">
        <x:v>2026</x:v>
      </x:c>
      <x:c r="J13" s="32" t="str">
        <x:v>BLANCO</x:v>
      </x:c>
      <x:c r="K13" s="32" t="str">
        <x:v>AÑO : 2026</x:v>
      </x:c>
      <x:c r="L13" s="32" t="str">
        <x:v>LALMD4392T3309840</x:v>
      </x:c>
      <x:c r="M13" s="32" t="str">
        <x:v>MD43E2321088</x:v>
      </x:c>
      <x:c r="N13" s="32" t="str">
        <x:v>PARTICULAR</x:v>
      </x:c>
      <x:c r="O13" s="32" t="n">
        <x:v>1</x:v>
      </x:c>
      <x:c r="P13" s="32" t="str">
        <x:v>NINGUNO</x:v>
      </x:c>
      <x:c r="Q13" s="32" t="str">
        <x:v>RESERVA MARINA PUERTO CABUYAL</x:v>
      </x:c>
      <x:c r="R13" s="36" t="n">
        <x:v>4749.99</x:v>
      </x:c>
      <x:c r="S13" s="36" t="n">
        <x:v>0</x:v>
      </x:c>
      <x:c r="T13" s="36" t="n">
        <x:v>4749.99</x:v>
      </x:c>
      <x:c r="U13" s="32" t="str">
        <x:v>20% v.s , min USD 200 (EL MAYOR DE LOS DOS)</x:v>
      </x:c>
      <x:c r="V13" s="32" t="str">
        <x:v>Activo</x:v>
      </x:c>
      <x:c r="W13" s="32" t="str"/>
      <x:c r="X13" s="32" t="str">
        <x:v>RESERVA MARINA PUERTO CABUYAL</x:v>
      </x:c>
      <x:c r="Y13" s="32" t="str"/>
      <x:c r="Z13" s="32" t="str">
        <x:v>SI</x:v>
      </x:c>
    </x:row>
    <x:row r="14">
      <x:c r="A14" s="32" t="str">
        <x:v>GSV5174</x:v>
      </x:c>
      <x:c r="B14" s="32" t="str">
        <x:v>VP-0205090</x:v>
      </x:c>
      <x:c r="C14" s="32" t="str">
        <x:v>1</x:v>
      </x:c>
      <x:c r="D14" s="32" t="str">
        <x:v>GSV5174</x:v>
      </x:c>
      <x:c r="E14" s="32" t="str">
        <x:v>Jeep/SUV</x:v>
      </x:c>
      <x:c r="F14" s="32" t="str">
        <x:v>JEEP</x:v>
      </x:c>
      <x:c r="G14" s="32" t="str">
        <x:v>SUZUKI</x:v>
      </x:c>
      <x:c r="H14" s="32" t="str">
        <x:v>GRAND VITARA SZ AC 2.0 5P 4X2 TM</x:v>
      </x:c>
      <x:c r="I14" s="32" t="n">
        <x:v>2018</x:v>
      </x:c>
      <x:c r="J14" s="32" t="str">
        <x:v>BLANCO</x:v>
      </x:c>
      <x:c r="K14" s="32" t="str">
        <x:v>AÑO : 2018</x:v>
      </x:c>
      <x:c r="L14" s="32" t="str">
        <x:v>8LDCB5351J0380275</x:v>
      </x:c>
      <x:c r="M14" s="32" t="str">
        <x:v>J20A849280</x:v>
      </x:c>
      <x:c r="N14" s="32" t="str">
        <x:v>PARTICULAR</x:v>
      </x:c>
      <x:c r="O14" s="32" t="n">
        <x:v>5</x:v>
      </x:c>
      <x:c r="P14" s="32" t="str">
        <x:v>NINGUNO</x:v>
      </x:c>
      <x:c r="Q14" s="32" t="str">
        <x:v>PASF II</x:v>
      </x:c>
      <x:c r="R14" s="36" t="n">
        <x:v>14000</x:v>
      </x:c>
      <x:c r="S14" s="36" t="n">
        <x:v>0</x:v>
      </x:c>
      <x:c r="T14" s="36" t="n">
        <x:v>14000</x:v>
      </x:c>
      <x:c r="U14" s="32" t="str">
        <x:v>Perdida parcial (por evento) USD 550 · Daños parciales o perdida total 10% v.a. · Perdidas totales robo o hurto 10% v.a. · Si se vuelve de alto riego por robo y/o hurto 20% v.a.</x:v>
      </x:c>
      <x:c r="V14" s="32" t="str">
        <x:v>Activo</x:v>
      </x:c>
      <x:c r="W14" s="32" t="str"/>
      <x:c r="X14" s="32" t="str">
        <x:v>PASF II</x:v>
      </x:c>
      <x:c r="Y14" s="32" t="str"/>
      <x:c r="Z14" s="32" t="str">
        <x:v>SI</x:v>
      </x:c>
    </x:row>
    <x:row r="15">
      <x:c r="A15" s="32" t="str">
        <x:v>PFD3377</x:v>
      </x:c>
      <x:c r="B15" s="32" t="str">
        <x:v>VP-0205092</x:v>
      </x:c>
      <x:c r="C15" s="32" t="str">
        <x:v>1</x:v>
      </x:c>
      <x:c r="D15" s="32" t="str">
        <x:v>PFD3377</x:v>
      </x:c>
      <x:c r="E15" s="32" t="str">
        <x:v>Camioneta</x:v>
      </x:c>
      <x:c r="F15" s="32" t="str">
        <x:v>CAMIONETA</x:v>
      </x:c>
      <x:c r="G15" s="32" t="str">
        <x:v>JAC</x:v>
      </x:c>
      <x:c r="H15" s="32" t="str">
        <x:v>HFC1037D3KST LUXURY T8 AC 2.0 CD 4X4 TML</x:v>
      </x:c>
      <x:c r="I15" s="32" t="n">
        <x:v>2024</x:v>
      </x:c>
      <x:c r="J15" s="32" t="str">
        <x:v>BLANCO</x:v>
      </x:c>
      <x:c r="K15" s="32" t="str">
        <x:v>MHJAC1</x:v>
      </x:c>
      <x:c r="L15" s="32" t="str">
        <x:v>LJ11PABD6RC090400</x:v>
      </x:c>
      <x:c r="M15" s="32" t="str">
        <x:v>N4137710</x:v>
      </x:c>
      <x:c r="N15" s="32" t="str">
        <x:v>PARTICULAR</x:v>
      </x:c>
      <x:c r="O15" s="32" t="n">
        <x:v>5</x:v>
      </x:c>
      <x:c r="P15" s="32" t="str">
        <x:v>NINGUNO</x:v>
      </x:c>
      <x:c r="Q15" s="32" t="str">
        <x:v>PASF II</x:v>
      </x:c>
      <x:c r="R15" s="36" t="n">
        <x:v>19000</x:v>
      </x:c>
      <x:c r="S15" s="36" t="n">
        <x:v>5355.35</x:v>
      </x:c>
      <x:c r="T15" s="36" t="n">
        <x:v>24355.35</x:v>
      </x:c>
      <x:c r="U15" s="32" t="str">
        <x:v>Perdida parcial (por evento) USD 550 · Daños parciales o perdida total 10% v.a. · Perdidas totales robo o hurto 10% v.a. · Si se vuelve de alto riego por robo y/o hurto 20% v.a.</x:v>
      </x:c>
      <x:c r="V15" s="32" t="str">
        <x:v>Activo</x:v>
      </x:c>
      <x:c r="W15" s="32" t="str"/>
      <x:c r="X15" s="32" t="str">
        <x:v>PASF II</x:v>
      </x:c>
      <x:c r="Y15" s="32" t="str"/>
      <x:c r="Z15" s="32" t="str">
        <x:v>SI</x:v>
      </x:c>
    </x:row>
    <x:row r="16">
      <x:c r="A16" s="32" t="str">
        <x:v>PFD3378</x:v>
      </x:c>
      <x:c r="B16" s="32" t="str">
        <x:v>VP-0205092</x:v>
      </x:c>
      <x:c r="C16" s="32" t="str">
        <x:v>2</x:v>
      </x:c>
      <x:c r="D16" s="32" t="str">
        <x:v>PFD3378</x:v>
      </x:c>
      <x:c r="E16" s="32" t="str">
        <x:v>Camioneta</x:v>
      </x:c>
      <x:c r="F16" s="32" t="str">
        <x:v>CAMIONETA</x:v>
      </x:c>
      <x:c r="G16" s="32" t="str">
        <x:v>JAC</x:v>
      </x:c>
      <x:c r="H16" s="32" t="str">
        <x:v>HFC1037D3KST LUXURY T8 AC 2.0 CD 4X4 TML</x:v>
      </x:c>
      <x:c r="I16" s="32" t="n">
        <x:v>2024</x:v>
      </x:c>
      <x:c r="J16" s="32" t="str">
        <x:v>BLANCO</x:v>
      </x:c>
      <x:c r="K16" s="32" t="str">
        <x:v>MHJAC1</x:v>
      </x:c>
      <x:c r="L16" s="32" t="str">
        <x:v>LJ11PABD8RC090401</x:v>
      </x:c>
      <x:c r="M16" s="32" t="str">
        <x:v>N4137732</x:v>
      </x:c>
      <x:c r="N16" s="32" t="str">
        <x:v>PARTICULAR</x:v>
      </x:c>
      <x:c r="O16" s="32" t="n">
        <x:v>5</x:v>
      </x:c>
      <x:c r="P16" s="32" t="str">
        <x:v>NINGUNO</x:v>
      </x:c>
      <x:c r="Q16" s="32" t="str">
        <x:v>PASF II</x:v>
      </x:c>
      <x:c r="R16" s="36" t="n">
        <x:v>19000</x:v>
      </x:c>
      <x:c r="S16" s="36" t="n">
        <x:v>5355.35</x:v>
      </x:c>
      <x:c r="T16" s="36" t="n">
        <x:v>24355.35</x:v>
      </x:c>
      <x:c r="U16" s="32" t="str">
        <x:v>Perdida parcial (por evento) USD 550 · Daños parciales o perdida total 10% v.a. · Perdidas totales robo o hurto 10% v.a. · Si se vuelve de alto riego por robo y/o hurto 20% v.a.</x:v>
      </x:c>
      <x:c r="V16" s="32" t="str">
        <x:v>Activo</x:v>
      </x:c>
      <x:c r="W16" s="32" t="str"/>
      <x:c r="X16" s="32" t="str">
        <x:v>PASF II</x:v>
      </x:c>
      <x:c r="Y16" s="32" t="str"/>
      <x:c r="Z16" s="32" t="str">
        <x:v>SI</x:v>
      </x:c>
    </x:row>
    <x:row r="17">
      <x:c r="A17" s="32" t="str">
        <x:v>PDT4190</x:v>
      </x:c>
      <x:c r="B17" s="32" t="str">
        <x:v>VP-0205277</x:v>
      </x:c>
      <x:c r="C17" s="32" t="str">
        <x:v>1</x:v>
      </x:c>
      <x:c r="D17" s="32" t="str">
        <x:v>PDT4190</x:v>
      </x:c>
      <x:c r="E17" s="32" t="str">
        <x:v>Camioneta</x:v>
      </x:c>
      <x:c r="F17" s="32" t="str">
        <x:v>CAMIONETA</x:v>
      </x:c>
      <x:c r="G17" s="32" t="str">
        <x:v>CHEVROLET</x:v>
      </x:c>
      <x:c r="H17" s="32" t="str">
        <x:v>D-MAX CRDI 2.5 CD 4X4 TM DIESEL</x:v>
      </x:c>
      <x:c r="I17" s="32" t="n">
        <x:v>2022</x:v>
      </x:c>
      <x:c r="J17" s="32" t="str">
        <x:v>BLANCO</x:v>
      </x:c>
      <x:c r="K17" s="32" t="str">
        <x:v>Z17131</x:v>
      </x:c>
      <x:c r="L17" s="32" t="str">
        <x:v>8LBETF3W6N0001077</x:v>
      </x:c>
      <x:c r="M17" s="32" t="str">
        <x:v>4JK1UN3750</x:v>
      </x:c>
      <x:c r="N17" s="32" t="str">
        <x:v>PARTICULAR</x:v>
      </x:c>
      <x:c r="O17" s="32" t="n">
        <x:v>5</x:v>
      </x:c>
      <x:c r="P17" s="32" t="str">
        <x:v>NINGUNO</x:v>
      </x:c>
      <x:c r="Q17" s="32" t="str">
        <x:v>REFUGIO DE VIDA SILVESTRE EL MORRO</x:v>
      </x:c>
      <x:c r="R17" s="36" t="n">
        <x:v>27000</x:v>
      </x:c>
      <x:c r="S17" s="36" t="n">
        <x:v>0</x:v>
      </x:c>
      <x:c r="T17" s="36" t="n">
        <x:v>27000</x:v>
      </x:c>
      <x:c r="U17" s="32" t="str">
        <x:v>Perdida parcial (por evento) USD 550 · Daños parciales o perdida total 10% v.a. · Perdidas totales robo o hurto 10% v.a. · Si se vuelve de alto riego por robo y/o hurto 20% v.a. · Perdida total con dispositivo</x:v>
      </x:c>
      <x:c r="V17" s="32" t="str">
        <x:v>Activo</x:v>
      </x:c>
      <x:c r="W17" s="32" t="str"/>
      <x:c r="X17" s="32" t="str">
        <x:v>REFUGIO DE VIDA SILVESTRE EL MORRO</x:v>
      </x:c>
      <x:c r="Y17" s="32" t="str"/>
      <x:c r="Z17" s="32" t="str">
        <x:v>SI</x:v>
      </x:c>
    </x:row>
    <x:row r="18">
      <x:c r="A18" s="32" t="str">
        <x:v>PFB2623</x:v>
      </x:c>
      <x:c r="B18" s="32" t="str">
        <x:v>VP-0205359</x:v>
      </x:c>
      <x:c r="C18" s="32" t="str">
        <x:v>1</x:v>
      </x:c>
      <x:c r="D18" s="32" t="str">
        <x:v>PFB2623</x:v>
      </x:c>
      <x:c r="E18" s="32" t="str">
        <x:v>Camioneta</x:v>
      </x:c>
      <x:c r="F18" s="32" t="str">
        <x:v>CAMIONETA</x:v>
      </x:c>
      <x:c r="G18" s="32" t="str">
        <x:v>NISSAN</x:v>
      </x:c>
      <x:c r="H18" s="32" t="str">
        <x:v>FRONTIER SE AC 2.5 CD 4X4 TM DIESEL</x:v>
      </x:c>
      <x:c r="I18" s="32" t="n">
        <x:v>2024</x:v>
      </x:c>
      <x:c r="J18" s="32" t="str">
        <x:v>PLATEADO</x:v>
      </x:c>
      <x:c r="K18" s="32" t="str">
        <x:v>NIS321</x:v>
      </x:c>
      <x:c r="L18" s="32" t="str">
        <x:v>3N6CD33B2RK802178</x:v>
      </x:c>
      <x:c r="M18" s="32" t="str">
        <x:v>YD25764597P</x:v>
      </x:c>
      <x:c r="N18" s="32" t="str">
        <x:v>PARTICULAR</x:v>
      </x:c>
      <x:c r="O18" s="32" t="n">
        <x:v>5</x:v>
      </x:c>
      <x:c r="P18" s="32" t="str">
        <x:v>NINGUNO</x:v>
      </x:c>
      <x:c r="Q18" s="32" t="str">
        <x:v>PARQUE NACIONAL ANTISANA</x:v>
      </x:c>
      <x:c r="R18" s="36" t="n">
        <x:v>27000</x:v>
      </x:c>
      <x:c r="S18" s="36" t="n">
        <x:v>3181.5</x:v>
      </x:c>
      <x:c r="T18" s="36" t="n">
        <x:v>30181.5</x:v>
      </x:c>
      <x:c r="U18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8" s="32" t="str">
        <x:v>Activo</x:v>
      </x:c>
      <x:c r="W18" s="32" t="str"/>
      <x:c r="X18" s="32" t="str">
        <x:v>PARQUE NACIONAL ANTISANA</x:v>
      </x:c>
      <x:c r="Y18" s="32" t="str"/>
      <x:c r="Z18" s="32" t="str">
        <x:v>SI</x:v>
      </x:c>
    </x:row>
    <x:row r="19">
      <x:c r="A19" s="32" t="str">
        <x:v>PDF8770</x:v>
      </x:c>
      <x:c r="B19" s="32" t="str">
        <x:v>VP-0205415</x:v>
      </x:c>
      <x:c r="C19" s="32" t="str">
        <x:v>1</x:v>
      </x:c>
      <x:c r="D19" s="32" t="str">
        <x:v>PDF8770</x:v>
      </x:c>
      <x:c r="E19" s="32" t="str">
        <x:v>Jeep/SUV</x:v>
      </x:c>
      <x:c r="F19" s="32" t="str">
        <x:v>JEEP</x:v>
      </x:c>
      <x:c r="G19" s="32" t="str">
        <x:v>TOYOTA</x:v>
      </x:c>
      <x:c r="H19" s="32" t="str">
        <x:v>NEW FORTUNER AC 2.7 5P 4X4 TM</x:v>
      </x:c>
      <x:c r="I19" s="32" t="n">
        <x:v>2019</x:v>
      </x:c>
      <x:c r="J19" s="32" t="str">
        <x:v>PLOMO</x:v>
      </x:c>
      <x:c r="K19" s="32" t="str">
        <x:v>AÑO : 2019</x:v>
      </x:c>
      <x:c r="L19" s="32" t="str">
        <x:v>MHFDX3FS4K0052178</x:v>
      </x:c>
      <x:c r="M19" s="32" t="str">
        <x:v>2TRA49829</x:v>
      </x:c>
      <x:c r="N19" s="32" t="str">
        <x:v>PARTICULAR</x:v>
      </x:c>
      <x:c r="O19" s="32" t="n">
        <x:v>7</x:v>
      </x:c>
      <x:c r="P19" s="32" t="str">
        <x:v>NINGUNO</x:v>
      </x:c>
      <x:c r="Q19" s="32" t="str">
        <x:v>FIAS / VEHÍCULO INSTITUCIONAL</x:v>
      </x:c>
      <x:c r="R19" s="36" t="n">
        <x:v>34000</x:v>
      </x:c>
      <x:c r="S19" s="36" t="n">
        <x:v>3000</x:v>
      </x:c>
      <x:c r="T19" s="36" t="n">
        <x:v>37000</x:v>
      </x:c>
      <x:c r="U19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19" s="32" t="str">
        <x:v>Activo</x:v>
      </x:c>
      <x:c r="W19" s="32" t="str"/>
      <x:c r="X19" s="32" t="str">
        <x:v>FIAS / VEHÍCULO INSTITUCIONAL</x:v>
      </x:c>
      <x:c r="Y19" s="32" t="str"/>
      <x:c r="Z19" s="32" t="str">
        <x:v>SI</x:v>
      </x:c>
    </x:row>
    <x:row r="20">
      <x:c r="A20" s="32" t="str">
        <x:v>PDU4216</x:v>
      </x:c>
      <x:c r="B20" s="32" t="str">
        <x:v>VP-0205468</x:v>
      </x:c>
      <x:c r="C20" s="32" t="str">
        <x:v>1</x:v>
      </x:c>
      <x:c r="D20" s="32" t="str">
        <x:v>PDU4216</x:v>
      </x:c>
      <x:c r="E20" s="32" t="str">
        <x:v>Camioneta</x:v>
      </x:c>
      <x:c r="F20" s="32" t="str">
        <x:v>CAMIONETA</x:v>
      </x:c>
      <x:c r="G20" s="32" t="str">
        <x:v>JAC</x:v>
      </x:c>
      <x:c r="H20" s="32" t="str">
        <x:v>HFC1037D3KST LUXURY T8 AC 2.0 CD 4X4 TM</x:v>
      </x:c>
      <x:c r="I20" s="32" t="n">
        <x:v>2022</x:v>
      </x:c>
      <x:c r="J20" s="32" t="str">
        <x:v>PLATEADO</x:v>
      </x:c>
      <x:c r="K20" s="32" t="str">
        <x:v>JAC999</x:v>
      </x:c>
      <x:c r="L20" s="32" t="str">
        <x:v>LJ11PABD0NC092282</x:v>
      </x:c>
      <x:c r="M20" s="32" t="str">
        <x:v>M4149469</x:v>
      </x:c>
      <x:c r="N20" s="32" t="str">
        <x:v>PARTICULAR</x:v>
      </x:c>
      <x:c r="O20" s="32" t="n">
        <x:v>5</x:v>
      </x:c>
      <x:c r="P20" s="32" t="str">
        <x:v>NINGUNO</x:v>
      </x:c>
      <x:c r="Q20" s="32" t="str">
        <x:v>PARQUE NACIONAL MACHALILLA</x:v>
      </x:c>
      <x:c r="R20" s="36" t="n">
        <x:v>16500</x:v>
      </x:c>
      <x:c r="S20" s="36" t="n">
        <x:v>3900</x:v>
      </x:c>
      <x:c r="T20" s="36" t="n">
        <x:v>20400</x:v>
      </x:c>
      <x:c r="U20" s="32" t="str">
        <x:v>Perdida parcial (por evento) : USD 550 · Daños parciales o perdida total : 10% valor asegurado. · Perdidas totales robo o hurto : 10% valor asegurado. · Si se vuelve de alto riego por robo y/o hurto : 20% valor asegurado. · Perdida total con dispositivo</x:v>
      </x:c>
      <x:c r="V20" s="32" t="str">
        <x:v>Activo</x:v>
      </x:c>
      <x:c r="W20" s="32" t="str"/>
      <x:c r="X20" s="32" t="str">
        <x:v>PARQUE NACIONAL MACHALILLA</x:v>
      </x:c>
      <x:c r="Y20" s="32" t="str"/>
      <x:c r="Z20" s="32" t="str">
        <x:v>SI</x:v>
      </x:c>
    </x:row>
  </x:sheetData>
  <x:dataValidations count="2">
    <x:dataValidation type="list" sqref="Z2:Z500">
      <x:formula1>"SI,NO"</x:formula1>
    </x:dataValidation>
    <x:dataValidation type="list" sqref="E2:E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8c6355c5cd4e2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9.880000114440918" hidden="0" customWidth="1"/>
    <x:col min="3" max="3" width="8.75" hidden="0" customWidth="1"/>
    <x:col min="4" max="4" width="16.6299991607666" hidden="0" customWidth="1"/>
    <x:col min="5" max="5" width="36" hidden="0" customWidth="1"/>
    <x:col min="6" max="6" width="48" hidden="0" customWidth="1"/>
    <x:col min="7" max="7" width="11" hidden="0" customWidth="1"/>
    <x:col min="8" max="8" width="28" hidden="0" customWidth="1"/>
    <x:col min="9" max="9" width="28" hidden="0" customWidth="1"/>
    <x:col min="10" max="10" width="13.25" hidden="0" customWidth="1"/>
  </x:cols>
  <x:sheetData>
    <x:row r="1" ht="28" customHeight="1">
      <x:c r="A1" s="39" t="str">
        <x:v>id_cobertura</x:v>
      </x:c>
      <x:c r="B1" s="39" t="str">
        <x:v>id_poliza</x:v>
      </x:c>
      <x:c r="C1" s="39" t="str">
        <x:v>id_bien</x:v>
      </x:c>
      <x:c r="D1" s="39" t="str">
        <x:v>tipo_cobertura</x:v>
      </x:c>
      <x:c r="E1" s="39" t="str">
        <x:v>nombre_cobertura</x:v>
      </x:c>
      <x:c r="F1" s="39" t="str">
        <x:v>descripcion</x:v>
      </x:c>
      <x:c r="G1" s="39" t="str">
        <x:v>limite_usd</x:v>
      </x:c>
      <x:c r="H1" s="39" t="str">
        <x:v>deducible</x:v>
      </x:c>
      <x:c r="I1" s="39" t="str">
        <x:v>aplica_a</x:v>
      </x:c>
      <x:c r="J1" s="39" t="str">
        <x:v>mostrar_web</x:v>
      </x:c>
    </x:row>
    <x:row r="2">
      <x:c r="A2" s="32" t="str">
        <x:v>COB-DANOS-001</x:v>
      </x:c>
      <x:c r="B2" s="32" t="str"/>
      <x:c r="C2" s="32" t="str"/>
      <x:c r="D2" s="32" t="str">
        <x:v>Daños propios</x:v>
      </x:c>
      <x:c r="E2" s="32" t="str">
        <x:v>Choque y volcadura</x:v>
      </x:c>
      <x:c r="F2" s="32" t="str">
        <x:v>Cubre pérdida parcial o total del vehículo asegurado por choque o volcadura, conforme las condiciones de la póliza.</x:v>
      </x:c>
      <x:c r="G2" s="36" t="str"/>
      <x:c r="H2" s="32" t="str">
        <x:v>Según póliza</x:v>
      </x:c>
      <x:c r="I2" s="32" t="str">
        <x:v>Vehículos y motos</x:v>
      </x:c>
      <x:c r="J2" s="32" t="str">
        <x:v>SI</x:v>
      </x:c>
    </x:row>
    <x:row r="3">
      <x:c r="A3" s="32" t="str">
        <x:v>COB-DANOS-002</x:v>
      </x:c>
      <x:c r="B3" s="32" t="str"/>
      <x:c r="C3" s="32" t="str"/>
      <x:c r="D3" s="32" t="str">
        <x:v>Daños propios</x:v>
      </x:c>
      <x:c r="E3" s="32" t="str">
        <x:v>Incendio, rayo, autoignición y explosión</x:v>
      </x:c>
      <x:c r="F3" s="32" t="str">
        <x:v>Cubre daños ocasionados por fuego, rayo, autoignición o explosión cuando estén contemplados en la póliza.</x:v>
      </x:c>
      <x:c r="G3" s="36" t="str"/>
      <x:c r="H3" s="32" t="str">
        <x:v>Según póliza</x:v>
      </x:c>
      <x:c r="I3" s="32" t="str">
        <x:v>Vehículos y motos</x:v>
      </x:c>
      <x:c r="J3" s="32" t="str">
        <x:v>SI</x:v>
      </x:c>
    </x:row>
    <x:row r="4">
      <x:c r="A4" s="32" t="str">
        <x:v>COB-DANOS-003</x:v>
      </x:c>
      <x:c r="B4" s="32" t="str"/>
      <x:c r="C4" s="32" t="str"/>
      <x:c r="D4" s="32" t="str">
        <x:v>Daños propios</x:v>
      </x:c>
      <x:c r="E4" s="32" t="str">
        <x:v>Rotura de vidrios e impacto con objetos sólidos</x:v>
      </x:c>
      <x:c r="F4" s="32" t="str">
        <x:v>Cubre la rotura de vidrios y daños por impacto con objetos sólidos, de acuerdo con los términos contratados.</x:v>
      </x:c>
      <x:c r="G4" s="36" t="str"/>
      <x:c r="H4" s="32" t="str">
        <x:v>Según póliza</x:v>
      </x:c>
      <x:c r="I4" s="32" t="str">
        <x:v>Vehículos y motos</x:v>
      </x:c>
      <x:c r="J4" s="32" t="str">
        <x:v>SI</x:v>
      </x:c>
    </x:row>
    <x:row r="5">
      <x:c r="A5" s="32" t="str">
        <x:v>COB-DANOS-004</x:v>
      </x:c>
      <x:c r="B5" s="32" t="str"/>
      <x:c r="C5" s="32" t="str"/>
      <x:c r="D5" s="32" t="str">
        <x:v>Robo / hurto</x:v>
      </x:c>
      <x:c r="E5" s="32" t="str">
        <x:v>Robo o hurto total y parcial</x:v>
      </x:c>
      <x:c r="F5" s="32" t="str">
        <x:v>Cubre la pérdida total o parcial del vehículo o de partes aseguradas por robo o hurto, sujeto a denuncia, notificación y respaldos.</x:v>
      </x:c>
      <x:c r="G5" s="36" t="str"/>
      <x:c r="H5" s="32" t="str">
        <x:v>Según póliza</x:v>
      </x:c>
      <x:c r="I5" s="32" t="str">
        <x:v>Vehículos y motos</x:v>
      </x:c>
      <x:c r="J5" s="32" t="str">
        <x:v>SI</x:v>
      </x:c>
    </x:row>
    <x:row r="6">
      <x:c r="A6" s="32" t="str">
        <x:v>COB-DANOS-005</x:v>
      </x:c>
      <x:c r="B6" s="32" t="str"/>
      <x:c r="C6" s="32" t="str"/>
      <x:c r="D6" s="32" t="str">
        <x:v>Fenómenos naturales</x:v>
      </x:c>
      <x:c r="E6" s="32" t="str">
        <x:v>Inundación, terremoto, erupción, deslizamiento y caída de rocas</x:v>
      </x:c>
      <x:c r="F6" s="32" t="str">
        <x:v>Cubre eventos de la naturaleza que produzcan daños al bien asegurado, cuando consten en condiciones generales o particulares.</x:v>
      </x:c>
      <x:c r="G6" s="36" t="str"/>
      <x:c r="H6" s="32" t="str">
        <x:v>Según póliza</x:v>
      </x:c>
      <x:c r="I6" s="32" t="str">
        <x:v>Vehículos y motos</x:v>
      </x:c>
      <x:c r="J6" s="32" t="str">
        <x:v>SI</x:v>
      </x:c>
    </x:row>
    <x:row r="7">
      <x:c r="A7" s="32" t="str">
        <x:v>COB-DANOS-006</x:v>
      </x:c>
      <x:c r="B7" s="32" t="str"/>
      <x:c r="C7" s="32" t="str"/>
      <x:c r="D7" s="32" t="str">
        <x:v>Impactos y caídas</x:v>
      </x:c>
      <x:c r="E7" s="32" t="str">
        <x:v>Caída de árboles, edificios, aeronaves o partes de ellos</x:v>
      </x:c>
      <x:c r="F7" s="32" t="str">
        <x:v>Cubre daños causados por caída de objetos externos sobre el vehículo asegurado, conforme condiciones de la póliza.</x:v>
      </x:c>
      <x:c r="G7" s="36" t="str"/>
      <x:c r="H7" s="32" t="str">
        <x:v>Según póliza</x:v>
      </x:c>
      <x:c r="I7" s="32" t="str">
        <x:v>Vehículos y motos</x:v>
      </x:c>
      <x:c r="J7" s="32" t="str">
        <x:v>SI</x:v>
      </x:c>
    </x:row>
    <x:row r="8">
      <x:c r="A8" s="32" t="str">
        <x:v>COB-DANOS-007</x:v>
      </x:c>
      <x:c r="B8" s="32" t="str"/>
      <x:c r="C8" s="32" t="str"/>
      <x:c r="D8" s="32" t="str">
        <x:v>Orden público</x:v>
      </x:c>
      <x:c r="E8" s="32" t="str">
        <x:v>Motín, huelga, conmoción civil y daños maliciosos</x:v>
      </x:c>
      <x:c r="F8" s="32" t="str">
        <x:v>Cubre eventos especiales relacionados con orden público, sujetos a las condiciones y exclusiones de la póliza.</x:v>
      </x:c>
      <x:c r="G8" s="36" t="str"/>
      <x:c r="H8" s="32" t="str">
        <x:v>Según póliza</x:v>
      </x:c>
      <x:c r="I8" s="32" t="str">
        <x:v>Vehículos y motos</x:v>
      </x:c>
      <x:c r="J8" s="32" t="str">
        <x:v>SI</x:v>
      </x:c>
    </x:row>
    <x:row r="9">
      <x:c r="A9" s="32" t="str">
        <x:v>COB-DANOS-008</x:v>
      </x:c>
      <x:c r="B9" s="32" t="str"/>
      <x:c r="C9" s="32" t="str"/>
      <x:c r="D9" s="32" t="str">
        <x:v>Tránsito y operación</x:v>
      </x:c>
      <x:c r="E9" s="32" t="str">
        <x:v>Paso de puentes y gabarras; tránsito por caminos no entregados al uso público</x:v>
      </x:c>
      <x:c r="F9" s="32" t="str">
        <x:v>Cubre determinados eventos durante la circulación por rutas o pasos descritos en la póliza, siempre que sean aplicables.</x:v>
      </x:c>
      <x:c r="G9" s="36" t="str"/>
      <x:c r="H9" s="32" t="str">
        <x:v>Según póliza</x:v>
      </x:c>
      <x:c r="I9" s="32" t="str">
        <x:v>Vehículos y motos</x:v>
      </x:c>
      <x:c r="J9" s="32" t="str">
        <x:v>SI</x:v>
      </x:c>
    </x:row>
    <x:row r="10">
      <x:c r="A10" s="32" t="str">
        <x:v>COB-DANOS-009</x:v>
      </x:c>
      <x:c r="B10" s="32" t="str"/>
      <x:c r="C10" s="32" t="str"/>
      <x:c r="D10" s="32" t="str">
        <x:v>Responsabilidad civil</x:v>
      </x:c>
      <x:c r="E10" s="32" t="str">
        <x:v>Responsabilidad civil a terceros</x:v>
      </x:c>
      <x:c r="F10" s="32" t="str">
        <x:v>Amparo frente a daños a terceros hasta el límite establecido en cada póliza o condiciones particulares.</x:v>
      </x:c>
      <x:c r="G10" s="36" t="str">
        <x:v>30000</x:v>
      </x:c>
      <x:c r="H10" s="32" t="str">
        <x:v>Según póliza</x:v>
      </x:c>
      <x:c r="I10" s="32" t="str">
        <x:v>Principalmente vehículos; motos según póliza</x:v>
      </x:c>
      <x:c r="J10" s="32" t="str">
        <x:v>SI</x:v>
      </x:c>
    </x:row>
    <x:row r="11">
      <x:c r="A11" s="32" t="str">
        <x:v>COB-DANOS-010</x:v>
      </x:c>
      <x:c r="B11" s="32" t="str"/>
      <x:c r="C11" s="32" t="str"/>
      <x:c r="D11" s="32" t="str">
        <x:v>Amparos personales</x:v>
      </x:c>
      <x:c r="E11" s="32" t="str">
        <x:v>Muerte accidental, invalidez y gastos médicos por ocupante</x:v>
      </x:c>
      <x:c r="F11" s="32" t="str">
        <x:v>Amparos personales sujetos al límite por ocupante, número de ocupantes y condiciones particulares de cada póliza.</x:v>
      </x:c>
      <x:c r="G11" s="36" t="str"/>
      <x:c r="H11" s="32" t="str">
        <x:v>Según póliza</x:v>
      </x:c>
      <x:c r="I11" s="32" t="str">
        <x:v>Según póliza</x:v>
      </x:c>
      <x:c r="J11" s="32" t="str">
        <x:v>SI</x:v>
      </x:c>
    </x:row>
    <x:row r="12">
      <x:c r="A12" s="32" t="str">
        <x:v>COB-DANOS-011</x:v>
      </x:c>
      <x:c r="B12" s="32" t="str"/>
      <x:c r="C12" s="32" t="str"/>
      <x:c r="D12" s="32" t="str">
        <x:v>Asistencia vial</x:v>
      </x:c>
      <x:c r="E12" s="32" t="str">
        <x:v>Grúa, wincha, auxilio vial y asistencia en siniestro</x:v>
      </x:c>
      <x:c r="F12" s="32" t="str">
        <x:v>Servicio coordinado por canales oficiales del broker, aseguradora o proveedor asignado. No se recomienda contratar proveedores externos sin autorización.</x:v>
      </x:c>
      <x:c r="G12" s="36" t="str"/>
      <x:c r="H12" s="32" t="str"/>
      <x:c r="I12" s="32" t="str">
        <x:v>Según póliza</x:v>
      </x:c>
      <x:c r="J12" s="32" t="str">
        <x:v>SI</x:v>
      </x:c>
    </x:row>
  </x:sheetData>
  <x:dataValidations count="1">
    <x:dataValidation type="list" sqref="J2:J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fd9800ed3c419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.880000114440918" hidden="0" customWidth="1"/>
    <x:col min="2" max="2" width="11" hidden="0" customWidth="1"/>
    <x:col min="3" max="3" width="26.5" hidden="0" customWidth="1"/>
    <x:col min="4" max="4" width="17" hidden="0" customWidth="1"/>
    <x:col min="5" max="5" width="18.75" hidden="0" customWidth="1"/>
    <x:col min="6" max="6" width="15.630000114440918" hidden="0" customWidth="1"/>
    <x:col min="7" max="7" width="45" hidden="0" customWidth="1"/>
    <x:col min="8" max="8" width="45" hidden="0" customWidth="1"/>
    <x:col min="9" max="9" width="13.25" hidden="0" customWidth="1"/>
    <x:col min="10" max="10" width="7.630000114440918" hidden="0" customWidth="1"/>
  </x:cols>
  <x:sheetData>
    <x:row r="1" ht="28" customHeight="1">
      <x:c r="A1" s="29" t="str">
        <x:v>id_asistencia</x:v>
      </x:c>
      <x:c r="B1" s="29" t="str">
        <x:v>proveedor</x:v>
      </x:c>
      <x:c r="C1" s="29" t="str">
        <x:v>servicio</x:v>
      </x:c>
      <x:c r="D1" s="29" t="str">
        <x:v>telefono_principal</x:v>
      </x:c>
      <x:c r="E1" s="29" t="str">
        <x:v>telefono_secundario</x:v>
      </x:c>
      <x:c r="F1" s="29" t="str">
        <x:v>horario</x:v>
      </x:c>
      <x:c r="G1" s="29" t="str">
        <x:v>descripcion</x:v>
      </x:c>
      <x:c r="H1" s="29" t="str">
        <x:v>condiciones</x:v>
      </x:c>
      <x:c r="I1" s="29" t="str">
        <x:v>mostrar_web</x:v>
      </x:c>
      <x:c r="J1" s="29" t="str">
        <x:v>orden</x:v>
      </x:c>
    </x:row>
    <x:row r="2">
      <x:c r="A2" s="32" t="str">
        <x:v>AST-001</x:v>
      </x:c>
      <x:c r="B2" s="32" t="str">
        <x:v>ASERTEC</x:v>
      </x:c>
      <x:c r="C2" s="32" t="str">
        <x:v>Broker de seguros · Asistencia 24/7</x:v>
      </x:c>
      <x:c r="D2" s="32" t="str">
        <x:v>1-800 273783</x:v>
      </x:c>
      <x:c r="E2" s="32" t="str">
        <x:v>(02) 381 9880</x:v>
      </x:c>
      <x:c r="F2" s="32" t="str">
        <x:v>24/7</x:v>
      </x:c>
      <x:c r="G2" s="32" t="str">
        <x:v>Comunícate con el broker para solicitar asistencia en caso de siniestro, accidente, avería o requerimiento de coordinación con la aseguradora.</x:v>
      </x:c>
      <x:c r="H2" s="32" t="str">
        <x:v>Levanta registro fotográfico o video del hecho. No pactes acuerdos, no asumas responsabilidad y no realices pagos ni reparaciones sin autorización.</x:v>
      </x:c>
      <x:c r="I2" s="32" t="str">
        <x:v>SI</x:v>
      </x:c>
      <x:c r="J2" s="32" t="n">
        <x:v>1</x:v>
      </x:c>
    </x:row>
    <x:row r="3">
      <x:c r="A3" s="32" t="str">
        <x:v>AST-002</x:v>
      </x:c>
      <x:c r="B3" s="32" t="str">
        <x:v>FIAS</x:v>
      </x:c>
      <x:c r="C3" s="32" t="str">
        <x:v>Comunicación interna</x:v>
      </x:c>
      <x:c r="D3" s="32" t="str">
        <x:v>Pendiente de definir</x:v>
      </x:c>
      <x:c r="E3" s="32" t="str"/>
      <x:c r="F3" s="32" t="str">
        <x:v>Horario institucional</x:v>
      </x:c>
      <x:c r="G3" s="32" t="str">
        <x:v>Informar al responsable administrativo, Talento Humano, responsable de bienes o custodio institucional para el registro y seguimiento interno del evento.</x:v>
      </x:c>
      <x:c r="H3" s="32" t="str">
        <x:v>Registrar el evento, respaldos y seguimiento administrativo correspondiente dentro de FIAS.</x:v>
      </x:c>
      <x:c r="I3" s="32" t="str">
        <x:v>SI</x:v>
      </x:c>
      <x:c r="J3" s="32" t="n">
        <x:v>2</x:v>
      </x:c>
    </x:row>
  </x:sheetData>
  <x:dataValidations count="1">
    <x:dataValidation type="list" sqref="I2:I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4744aead354fc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40" hidden="0" customWidth="1"/>
    <x:col min="5" max="5" width="16" hidden="0" customWidth="1"/>
    <x:col min="6" max="6" width="16" hidden="0" customWidth="1"/>
    <x:col min="7" max="7" width="16" hidden="0" customWidth="1"/>
    <x:col min="8" max="8" width="14" hidden="0" customWidth="1"/>
  </x:cols>
  <x:sheetData>
    <x:row r="1" ht="28" customHeight="1">
      <x:c r="A1" s="29" t="str">
        <x:v>id_paso</x:v>
      </x:c>
      <x:c r="B1" s="29" t="str">
        <x:v>orden</x:v>
      </x:c>
      <x:c r="C1" s="29" t="str">
        <x:v>titulo</x:v>
      </x:c>
      <x:c r="D1" s="29" t="str">
        <x:v>descripcion</x:v>
      </x:c>
      <x:c r="E1" s="29" t="str">
        <x:v>tipo</x:v>
      </x:c>
      <x:c r="F1" s="29" t="str">
        <x:v>icono</x:v>
      </x:c>
      <x:c r="G1" s="29" t="str">
        <x:v>aplica_a</x:v>
      </x:c>
      <x:c r="H1" s="29" t="str">
        <x:v>mostrar_web</x:v>
      </x:c>
    </x:row>
    <x:row r="2">
      <x:c r="A2" s="32" t="str">
        <x:v>PASO-001</x:v>
      </x:c>
      <x:c r="B2" s="32" t="n">
        <x:v>1</x:v>
      </x:c>
      <x:c r="C2" s="32" t="str">
        <x:v>Verifica la seguridad de las personas</x:v>
      </x:c>
      <x:c r="D2" s="32" t="str">
        <x:v>Detén el vehículo en un lugar seguro, activa luces de emergencia y prioriza la integridad de ocupantes y terceros.</x:v>
      </x:c>
      <x:c r="E2" s="32" t="str">
        <x:v>HACER</x:v>
      </x:c>
      <x:c r="F2" s="32" t="str">
        <x:v>shield</x:v>
      </x:c>
      <x:c r="G2" s="32" t="str">
        <x:v>Todos</x:v>
      </x:c>
      <x:c r="H2" s="32" t="str">
        <x:v>SI</x:v>
      </x:c>
    </x:row>
    <x:row r="3">
      <x:c r="A3" s="32" t="str">
        <x:v>PASO-002</x:v>
      </x:c>
      <x:c r="B3" s="32" t="n">
        <x:v>2</x:v>
      </x:c>
      <x:c r="C3" s="32" t="str">
        <x:v>Llama a asistencia</x:v>
      </x:c>
      <x:c r="D3" s="32" t="str">
        <x:v>Comunícate con el canal de asistencia vigente y proporciona placa, ubicación, tipo de evento y datos del conductor.</x:v>
      </x:c>
      <x:c r="E3" s="32" t="str">
        <x:v>HACER</x:v>
      </x:c>
      <x:c r="F3" s="32" t="str">
        <x:v>phone</x:v>
      </x:c>
      <x:c r="G3" s="32" t="str">
        <x:v>Todos</x:v>
      </x:c>
      <x:c r="H3" s="32" t="str">
        <x:v>SI</x:v>
      </x:c>
    </x:row>
    <x:row r="4">
      <x:c r="A4" s="32" t="str">
        <x:v>PASO-003</x:v>
      </x:c>
      <x:c r="B4" s="32" t="n">
        <x:v>3</x:v>
      </x:c>
      <x:c r="C4" s="32" t="str">
        <x:v>Registra evidencia</x:v>
      </x:c>
      <x:c r="D4" s="32" t="str">
        <x:v>Toma fotografías y video del lugar, daños, placas, documentos y cualquier referencia útil para el reporte.</x:v>
      </x:c>
      <x:c r="E4" s="32" t="str">
        <x:v>HACER</x:v>
      </x:c>
      <x:c r="F4" s="32" t="str">
        <x:v>camera</x:v>
      </x:c>
      <x:c r="G4" s="32" t="str">
        <x:v>Todos</x:v>
      </x:c>
      <x:c r="H4" s="32" t="str">
        <x:v>SI</x:v>
      </x:c>
    </x:row>
    <x:row r="5">
      <x:c r="A5" s="32" t="str">
        <x:v>PASO-004</x:v>
      </x:c>
      <x:c r="B5" s="32" t="n">
        <x:v>4</x:v>
      </x:c>
      <x:c r="C5" s="32" t="str">
        <x:v>No pactes acuerdos</x:v>
      </x:c>
      <x:c r="D5" s="32" t="str">
        <x:v>No realices acuerdos directos ni aceptes responsabilidad sin autorización de la aseguradora o responsable FIAS.</x:v>
      </x:c>
      <x:c r="E5" s="32" t="str">
        <x:v>NO_HACER</x:v>
      </x:c>
      <x:c r="F5" s="32" t="str">
        <x:v>ban</x:v>
      </x:c>
      <x:c r="G5" s="32" t="str">
        <x:v>Todos</x:v>
      </x:c>
      <x:c r="H5" s="32" t="str">
        <x:v>SI</x:v>
      </x:c>
    </x:row>
    <x:row r="6">
      <x:c r="A6" s="32" t="str">
        <x:v>PASO-005</x:v>
      </x:c>
      <x:c r="B6" s="32" t="n">
        <x:v>5</x:v>
      </x:c>
      <x:c r="C6" s="32" t="str">
        <x:v>No realices pagos o reparaciones</x:v>
      </x:c>
      <x:c r="D6" s="32" t="str">
        <x:v>No contrates reparaciones, grúas o servicios externos sin aprobación previa, salvo emergencia debidamente justificada.</x:v>
      </x:c>
      <x:c r="E6" s="32" t="str">
        <x:v>NO_HACER</x:v>
      </x:c>
      <x:c r="F6" s="32" t="str">
        <x:v>alert</x:v>
      </x:c>
      <x:c r="G6" s="32" t="str">
        <x:v>Todos</x:v>
      </x:c>
      <x:c r="H6" s="32" t="str">
        <x:v>SI</x:v>
      </x:c>
    </x:row>
    <x:row r="7">
      <x:c r="A7" s="32" t="str">
        <x:v>PASO-006</x:v>
      </x:c>
      <x:c r="B7" s="32" t="n">
        <x:v>6</x:v>
      </x:c>
      <x:c r="C7" s="32" t="str">
        <x:v>Comunica a FIAS</x:v>
      </x:c>
      <x:c r="D7" s="32" t="str">
        <x:v>Reporta el evento al responsable interno para abrir seguimiento administrativo, documental y de seguros.</x:v>
      </x:c>
      <x:c r="E7" s="32" t="str">
        <x:v>HACER</x:v>
      </x:c>
      <x:c r="F7" s="32" t="str">
        <x:v>file</x:v>
      </x:c>
      <x:c r="G7" s="32" t="str">
        <x:v>Todos</x:v>
      </x:c>
      <x:c r="H7" s="32" t="str">
        <x:v>SI</x:v>
      </x:c>
    </x:row>
  </x:sheetData>
  <x:dataValidations count="2">
    <x:dataValidation type="list" sqref="H2:H500">
      <x:formula1>"SI,NO"</x:formula1>
    </x:dataValidation>
    <x:dataValidation type="list" sqref="E2:E200">
      <x:formula1>"HACER,NO_HACER"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edbe2bfb7c4a0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4" hidden="0" customWidth="1"/>
    <x:col min="7" max="7" width="14" hidden="0" customWidth="1"/>
  </x:cols>
  <x:sheetData>
    <x:row r="1" ht="28" customHeight="1">
      <x:c r="A1" s="29" t="str">
        <x:v>id_documento</x:v>
      </x:c>
      <x:c r="B1" s="29" t="str">
        <x:v>documento</x:v>
      </x:c>
      <x:c r="C1" s="29" t="str">
        <x:v>descripcion</x:v>
      </x:c>
      <x:c r="D1" s="29" t="str">
        <x:v>obligatorio</x:v>
      </x:c>
      <x:c r="E1" s="29" t="str">
        <x:v>aplica_a</x:v>
      </x:c>
      <x:c r="F1" s="29" t="str">
        <x:v>orden</x:v>
      </x:c>
      <x:c r="G1" s="29" t="str">
        <x:v>mostrar_web</x:v>
      </x:c>
    </x:row>
    <x:row r="2">
      <x:c r="A2" s="32" t="str">
        <x:v>DOC-001</x:v>
      </x:c>
      <x:c r="B2" s="32" t="str">
        <x:v>Matrícula del vehículo</x:v>
      </x:c>
      <x:c r="C2" s="32" t="str">
        <x:v>Documento vigente del bien asegurado.</x:v>
      </x:c>
      <x:c r="D2" s="32" t="str">
        <x:v>SI</x:v>
      </x:c>
      <x:c r="E2" s="32" t="str">
        <x:v>Todos</x:v>
      </x:c>
      <x:c r="F2" s="32" t="n">
        <x:v>1</x:v>
      </x:c>
      <x:c r="G2" s="32" t="str">
        <x:v>SI</x:v>
      </x:c>
    </x:row>
    <x:row r="3">
      <x:c r="A3" s="32" t="str">
        <x:v>DOC-002</x:v>
      </x:c>
      <x:c r="B3" s="32" t="str">
        <x:v>Licencia del conductor</x:v>
      </x:c>
      <x:c r="C3" s="32" t="str">
        <x:v>Licencia válida acorde al tipo de vehículo conducido.</x:v>
      </x:c>
      <x:c r="D3" s="32" t="str">
        <x:v>SI</x:v>
      </x:c>
      <x:c r="E3" s="32" t="str">
        <x:v>Todos</x:v>
      </x:c>
      <x:c r="F3" s="32" t="n">
        <x:v>2</x:v>
      </x:c>
      <x:c r="G3" s="32" t="str">
        <x:v>SI</x:v>
      </x:c>
    </x:row>
    <x:row r="4">
      <x:c r="A4" s="32" t="str">
        <x:v>DOC-003</x:v>
      </x:c>
      <x:c r="B4" s="32" t="str">
        <x:v>Cédula del conductor</x:v>
      </x:c>
      <x:c r="C4" s="32" t="str">
        <x:v>Documento de identificación del conductor o custodio.</x:v>
      </x:c>
      <x:c r="D4" s="32" t="str">
        <x:v>SI</x:v>
      </x:c>
      <x:c r="E4" s="32" t="str">
        <x:v>Todos</x:v>
      </x:c>
      <x:c r="F4" s="32" t="n">
        <x:v>3</x:v>
      </x:c>
      <x:c r="G4" s="32" t="str">
        <x:v>SI</x:v>
      </x:c>
    </x:row>
    <x:row r="5">
      <x:c r="A5" s="32" t="str">
        <x:v>DOC-004</x:v>
      </x:c>
      <x:c r="B5" s="32" t="str">
        <x:v>Registro fotográfico o video</x:v>
      </x:c>
      <x:c r="C5" s="32" t="str">
        <x:v>Evidencia del hecho, daños y contexto del siniestro.</x:v>
      </x:c>
      <x:c r="D5" s="32" t="str">
        <x:v>SI</x:v>
      </x:c>
      <x:c r="E5" s="32" t="str">
        <x:v>Siniestro</x:v>
      </x:c>
      <x:c r="F5" s="32" t="n">
        <x:v>4</x:v>
      </x:c>
      <x:c r="G5" s="32" t="str">
        <x:v>SI</x:v>
      </x:c>
    </x:row>
    <x:row r="6">
      <x:c r="A6" s="32" t="str">
        <x:v>DOC-005</x:v>
      </x:c>
      <x:c r="B6" s="32" t="str">
        <x:v>Parte policial o denuncia</x:v>
      </x:c>
      <x:c r="C6" s="32" t="str">
        <x:v>Aplica en siniestros con terceros, lesiones, robo o hurto.</x:v>
      </x:c>
      <x:c r="D6" s="32" t="str">
        <x:v>SEGUN_CASO</x:v>
      </x:c>
      <x:c r="E6" s="32" t="str">
        <x:v>Robo / Siniestro</x:v>
      </x:c>
      <x:c r="F6" s="32" t="n">
        <x:v>5</x:v>
      </x:c>
      <x:c r="G6" s="32" t="str">
        <x:v>SI</x:v>
      </x:c>
    </x:row>
    <x:row r="7">
      <x:c r="A7" s="32" t="str">
        <x:v>DOC-006</x:v>
      </x:c>
      <x:c r="B7" s="32" t="str">
        <x:v>Informe interno FIAS</x:v>
      </x:c>
      <x:c r="C7" s="32" t="str">
        <x:v>Reporte administrativo para control y seguimiento institucional.</x:v>
      </x:c>
      <x:c r="D7" s="32" t="str">
        <x:v>SI</x:v>
      </x:c>
      <x:c r="E7" s="32" t="str">
        <x:v>Todos</x:v>
      </x:c>
      <x:c r="F7" s="32" t="n">
        <x:v>6</x:v>
      </x:c>
      <x:c r="G7" s="32" t="str">
        <x:v>SI</x:v>
      </x:c>
    </x:row>
  </x:sheetData>
  <x:dataValidations count="1">
    <x:dataValidation type="list" sqref="G2:G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f43a5a9ee04dd2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4" hidden="0" customWidth="1"/>
    <x:col min="6" max="6" width="14" hidden="0" customWidth="1"/>
  </x:cols>
  <x:sheetData>
    <x:row r="1" ht="28" customHeight="1">
      <x:c r="A1" s="29" t="str">
        <x:v>id_faq</x:v>
      </x:c>
      <x:c r="B1" s="29" t="str">
        <x:v>pregunta</x:v>
      </x:c>
      <x:c r="C1" s="29" t="str">
        <x:v>respuesta</x:v>
      </x:c>
      <x:c r="D1" s="29" t="str">
        <x:v>categoria</x:v>
      </x:c>
      <x:c r="E1" s="29" t="str">
        <x:v>orden</x:v>
      </x:c>
      <x:c r="F1" s="29" t="str">
        <x:v>mostrar_web</x:v>
      </x:c>
    </x:row>
    <x:row r="2">
      <x:c r="A2" s="32" t="str">
        <x:v>FAQ-001</x:v>
      </x:c>
      <x:c r="B2" s="32" t="str">
        <x:v>¿Qué hago si el vehículo no puede movilizarse?</x:v>
      </x:c>
      <x:c r="C2" s="32" t="str">
        <x:v>Comunícate con la asistencia autorizada y solicita coordinación de grúa o wincha. Evita contratar servicios externos sin autorización.</x:v>
      </x:c>
      <x:c r="D2" s="32" t="str">
        <x:v>Asistencia</x:v>
      </x:c>
      <x:c r="E2" s="32" t="n">
        <x:v>1</x:v>
      </x:c>
      <x:c r="F2" s="32" t="str">
        <x:v>SI</x:v>
      </x:c>
    </x:row>
    <x:row r="3">
      <x:c r="A3" s="32" t="str">
        <x:v>FAQ-002</x:v>
      </x:c>
      <x:c r="B3" s="32" t="str">
        <x:v>¿Puedo reparar el vehículo inmediatamente?</x:v>
      </x:c>
      <x:c r="C3" s="32" t="str">
        <x:v>No. Primero se debe reportar el siniestro y esperar la autorización de la aseguradora o del responsable institucional.</x:v>
      </x:c>
      <x:c r="D3" s="32" t="str">
        <x:v>Siniestros</x:v>
      </x:c>
      <x:c r="E3" s="32" t="n">
        <x:v>2</x:v>
      </x:c>
      <x:c r="F3" s="32" t="str">
        <x:v>SI</x:v>
      </x:c>
    </x:row>
    <x:row r="4">
      <x:c r="A4" s="32" t="str">
        <x:v>FAQ-003</x:v>
      </x:c>
      <x:c r="B4" s="32" t="str">
        <x:v>¿Qué información debo tener a la mano al llamar?</x:v>
      </x:c>
      <x:c r="C4" s="32" t="str">
        <x:v>Placa, ubicación exacta, datos del conductor, tipo de evento, fotografías y una descripción breve de lo ocurrido.</x:v>
      </x:c>
      <x:c r="D4" s="32" t="str">
        <x:v>Asistencia</x:v>
      </x:c>
      <x:c r="E4" s="32" t="n">
        <x:v>3</x:v>
      </x:c>
      <x:c r="F4" s="32" t="str">
        <x:v>SI</x:v>
      </x:c>
    </x:row>
    <x:row r="5">
      <x:c r="A5" s="32" t="str">
        <x:v>FAQ-004</x:v>
      </x:c>
      <x:c r="B5" s="32" t="str">
        <x:v>¿Dónde se actualizan los datos de la web?</x:v>
      </x:c>
      <x:c r="C5" s="32" t="str">
        <x:v>La información se edita en el Excel maestro de OneDrive. GitHub Actions sincroniza el archivo y genera los JSON que consume la web.</x:v>
      </x:c>
      <x:c r="D5" s="32" t="str">
        <x:v>Sistema</x:v>
      </x:c>
      <x:c r="E5" s="32" t="n">
        <x:v>4</x:v>
      </x:c>
      <x:c r="F5" s="32" t="str">
        <x:v>SI</x:v>
      </x:c>
    </x:row>
  </x:sheetData>
  <x:dataValidations count="2">
    <x:dataValidation type="list" sqref="F2:F500">
      <x:formula1>"SI,NO"</x:formula1>
    </x:dataValidation>
    <x:dataValidation type="list" sqref="D2:D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96ba1d7e8e474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40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28" customHeight="1">
      <x:c r="A1" s="29" t="str">
        <x:v>id_video</x:v>
      </x:c>
      <x:c r="B1" s="29" t="str">
        <x:v>titulo</x:v>
      </x:c>
      <x:c r="C1" s="29" t="str">
        <x:v>descripcion</x:v>
      </x:c>
      <x:c r="D1" s="29" t="str">
        <x:v>archivo_repo</x:v>
      </x:c>
      <x:c r="E1" s="29" t="str">
        <x:v>miniatura_repo</x:v>
      </x:c>
      <x:c r="F1" s="29" t="str">
        <x:v>categoria</x:v>
      </x:c>
      <x:c r="G1" s="29" t="str">
        <x:v>orden</x:v>
      </x:c>
      <x:c r="H1" s="29" t="str">
        <x:v>mostrar_web</x:v>
      </x:c>
    </x:row>
    <x:row r="2">
      <x:c r="A2" s="32" t="str">
        <x:v>VID-001</x:v>
      </x:c>
      <x:c r="B2" s="32" t="str">
        <x:v>¿Qué hacer en caso de siniestro?</x:v>
      </x:c>
      <x:c r="C2" s="32" t="str">
        <x:v>Video informativo para custodios y conductores sobre los pasos inmediatos ante un accidente o avería.</x:v>
      </x:c>
      <x:c r="D2" s="32" t="str">
        <x:v>assets/videos/asistencia-siniestro.mp4</x:v>
      </x:c>
      <x:c r="E2" s="32" t="str">
        <x:v>assets/img/thumb-siniestro.png</x:v>
      </x:c>
      <x:c r="F2" s="32" t="str">
        <x:v>Siniestro</x:v>
      </x:c>
      <x:c r="G2" s="32" t="n">
        <x:v>1</x:v>
      </x:c>
      <x:c r="H2" s="32" t="str">
        <x:v>SI</x:v>
      </x:c>
    </x:row>
    <x:row r="3">
      <x:c r="A3" s="32" t="str">
        <x:v>VID-002</x:v>
      </x:c>
      <x:c r="B3" s="32" t="str">
        <x:v>Prevención y conducción segura</x:v>
      </x:c>
      <x:c r="C3" s="32" t="str">
        <x:v>Recomendaciones para reducir riesgos durante traslados institucionales.</x:v>
      </x:c>
      <x:c r="D3" s="32" t="str">
        <x:v>assets/videos/prevencion-conduccion.mp4</x:v>
      </x:c>
      <x:c r="E3" s="32" t="str">
        <x:v>assets/img/thumb-prevencion.png</x:v>
      </x:c>
      <x:c r="F3" s="32" t="str">
        <x:v>Prevención</x:v>
      </x:c>
      <x:c r="G3" s="32" t="n">
        <x:v>2</x:v>
      </x:c>
      <x:c r="H3" s="32" t="str">
        <x:v>SI</x:v>
      </x:c>
    </x:row>
  </x:sheetData>
  <x:dataValidations count="2">
    <x:dataValidation type="list" sqref="H2:H500">
      <x:formula1>"SI,NO"</x:formula1>
    </x:dataValidation>
    <x:dataValidation type="list" sqref="F2:F500">
      <x:formula1>"Moto,Camioneta,Jeep/SUV,Cuadrón,Otro"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f023c13c99433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0" hidden="0" customWidth="1"/>
    <x:col min="3" max="3" width="16" hidden="0" customWidth="1"/>
    <x:col min="4" max="4" width="16" hidden="0" customWidth="1"/>
    <x:col min="5" max="5" width="16" hidden="0" customWidth="1"/>
  </x:cols>
  <x:sheetData>
    <x:row r="1" ht="28" customHeight="1">
      <x:c r="A1" s="29" t="str">
        <x:v>clave</x:v>
      </x:c>
      <x:c r="B1" s="29" t="str">
        <x:v>valor</x:v>
      </x:c>
      <x:c r="C1" s="29" t="str">
        <x:v>grupo</x:v>
      </x:c>
      <x:c r="D1" s="29" t="str">
        <x:v>tipo</x:v>
      </x:c>
      <x:c r="E1" s="29" t="str">
        <x:v>activo</x:v>
      </x:c>
    </x:row>
    <x:row r="2">
      <x:c r="A2" s="32" t="str">
        <x:v>titulo_principal</x:v>
      </x:c>
      <x:c r="B2" s="32" t="str">
        <x:v>Seguro Vehicular FIAS</x:v>
      </x:c>
      <x:c r="C2" s="32" t="str">
        <x:v>hero</x:v>
      </x:c>
      <x:c r="D2" s="32" t="str">
        <x:v>texto</x:v>
      </x:c>
      <x:c r="E2" s="32" t="str">
        <x:v>SI</x:v>
      </x:c>
    </x:row>
    <x:row r="3">
      <x:c r="A3" s="32" t="str">
        <x:v>subtitulo_principal</x:v>
      </x:c>
      <x:c r="B3" s="32" t="str">
        <x:v>Información de pólizas, bienes asegurados, asistencia y pasos de atención ante siniestros.</x:v>
      </x:c>
      <x:c r="C3" s="32" t="str">
        <x:v>hero</x:v>
      </x:c>
      <x:c r="D3" s="32" t="str">
        <x:v>texto</x:v>
      </x:c>
      <x:c r="E3" s="32" t="str">
        <x:v>SI</x:v>
      </x:c>
    </x:row>
    <x:row r="4">
      <x:c r="A4" s="32" t="str">
        <x:v>telefono_destacado</x:v>
      </x:c>
      <x:c r="B4" s="32" t="str">
        <x:v>1-800 273783</x:v>
      </x:c>
      <x:c r="C4" s="32" t="str">
        <x:v>asistencia</x:v>
      </x:c>
      <x:c r="D4" s="32" t="str">
        <x:v>telefono</x:v>
      </x:c>
      <x:c r="E4" s="32" t="str">
        <x:v>SI</x:v>
      </x:c>
    </x:row>
    <x:row r="5">
      <x:c r="A5" s="32" t="str">
        <x:v>nota_general</x:v>
      </x:c>
      <x:c r="B5" s="32" t="str">
        <x:v>La información publicada es de carácter informativo y debe contrastarse con la póliza vigente y sus condiciones particulares.</x:v>
      </x:c>
      <x:c r="C5" s="32" t="str">
        <x:v>footer</x:v>
      </x:c>
      <x:c r="D5" s="32" t="str">
        <x:v>texto</x:v>
      </x:c>
      <x:c r="E5" s="32" t="str">
        <x:v>SI</x:v>
      </x:c>
    </x:row>
    <x:row r="6">
      <x:c r="A6" s="32" t="str">
        <x:v>texto_boton_asistencia</x:v>
      </x:c>
      <x:c r="B6" s="32" t="str">
        <x:v>Ver asistencia</x:v>
      </x:c>
      <x:c r="C6" s="32" t="str">
        <x:v>botones</x:v>
      </x:c>
      <x:c r="D6" s="32" t="str">
        <x:v>texto</x:v>
      </x:c>
      <x:c r="E6" s="32" t="str">
        <x:v>SI</x:v>
      </x:c>
    </x:row>
    <x:row r="7">
      <x:c r="A7" s="32" t="str">
        <x:v>texto_boton_polizas</x:v>
      </x:c>
      <x:c r="B7" s="32" t="str">
        <x:v>Consultar pólizas</x:v>
      </x:c>
      <x:c r="C7" s="32" t="str">
        <x:v>botones</x:v>
      </x:c>
      <x:c r="D7" s="32" t="str">
        <x:v>texto</x:v>
      </x:c>
      <x:c r="E7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e5b04f6ba24624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4" hidden="0" customWidth="1"/>
    <x:col min="5" max="5" width="16" hidden="0" customWidth="1"/>
  </x:cols>
  <x:sheetData>
    <x:row r="1" ht="28" customHeight="1">
      <x:c r="A1" s="29" t="str">
        <x:v>tipo_catalogo</x:v>
      </x:c>
      <x:c r="B1" s="29" t="str">
        <x:v>codigo</x:v>
      </x:c>
      <x:c r="C1" s="29" t="str">
        <x:v>nombre</x:v>
      </x:c>
      <x:c r="D1" s="29" t="str">
        <x:v>orden</x:v>
      </x:c>
      <x:c r="E1" s="29" t="str">
        <x:v>activo</x:v>
      </x:c>
    </x:row>
    <x:row r="2">
      <x:c r="A2" s="32" t="str">
        <x:v>categoria_vehiculo</x:v>
      </x:c>
      <x:c r="B2" s="32" t="str">
        <x:v>MOTO</x:v>
      </x:c>
      <x:c r="C2" s="32" t="str">
        <x:v>Moto</x:v>
      </x:c>
      <x:c r="D2" s="32" t="n">
        <x:v>1</x:v>
      </x:c>
      <x:c r="E2" s="32" t="str">
        <x:v>SI</x:v>
      </x:c>
    </x:row>
    <x:row r="3">
      <x:c r="A3" s="32" t="str">
        <x:v>categoria_vehiculo</x:v>
      </x:c>
      <x:c r="B3" s="32" t="str">
        <x:v>CAMIONETA</x:v>
      </x:c>
      <x:c r="C3" s="32" t="str">
        <x:v>Camioneta</x:v>
      </x:c>
      <x:c r="D3" s="32" t="n">
        <x:v>2</x:v>
      </x:c>
      <x:c r="E3" s="32" t="str">
        <x:v>SI</x:v>
      </x:c>
    </x:row>
    <x:row r="4">
      <x:c r="A4" s="32" t="str">
        <x:v>categoria_vehiculo</x:v>
      </x:c>
      <x:c r="B4" s="32" t="str">
        <x:v>JEEP_SUV</x:v>
      </x:c>
      <x:c r="C4" s="32" t="str">
        <x:v>Jeep/SUV</x:v>
      </x:c>
      <x:c r="D4" s="32" t="n">
        <x:v>3</x:v>
      </x:c>
      <x:c r="E4" s="32" t="str">
        <x:v>SI</x:v>
      </x:c>
    </x:row>
    <x:row r="5">
      <x:c r="A5" s="32" t="str">
        <x:v>categoria_vehiculo</x:v>
      </x:c>
      <x:c r="B5" s="32" t="str">
        <x:v>CUADRON</x:v>
      </x:c>
      <x:c r="C5" s="32" t="str">
        <x:v>Cuadrón</x:v>
      </x:c>
      <x:c r="D5" s="32" t="n">
        <x:v>4</x:v>
      </x:c>
      <x:c r="E5" s="32" t="str">
        <x:v>SI</x:v>
      </x:c>
    </x:row>
    <x:row r="6">
      <x:c r="A6" s="32" t="str">
        <x:v>mostrar_web</x:v>
      </x:c>
      <x:c r="B6" s="32" t="str">
        <x:v>SI</x:v>
      </x:c>
      <x:c r="C6" s="32" t="str">
        <x:v>Sí se muestra en la web</x:v>
      </x:c>
      <x:c r="D6" s="32" t="n">
        <x:v>1</x:v>
      </x:c>
      <x:c r="E6" s="32" t="str">
        <x:v>SI</x:v>
      </x:c>
    </x:row>
    <x:row r="7">
      <x:c r="A7" s="32" t="str">
        <x:v>mostrar_web</x:v>
      </x:c>
      <x:c r="B7" s="32" t="str">
        <x:v>NO</x:v>
      </x:c>
      <x:c r="C7" s="32" t="str">
        <x:v>No se muestra en la web</x:v>
      </x:c>
      <x:c r="D7" s="32" t="n">
        <x:v>2</x:v>
      </x:c>
      <x:c r="E7" s="32" t="str">
        <x:v>SI</x:v>
      </x:c>
    </x:row>
    <x:row r="8">
      <x:c r="A8" s="32" t="str">
        <x:v>tipo_paso</x:v>
      </x:c>
      <x:c r="B8" s="32" t="str">
        <x:v>HACER</x:v>
      </x:c>
      <x:c r="C8" s="32" t="str">
        <x:v>Qué hacer</x:v>
      </x:c>
      <x:c r="D8" s="32" t="n">
        <x:v>1</x:v>
      </x:c>
      <x:c r="E8" s="32" t="str">
        <x:v>SI</x:v>
      </x:c>
    </x:row>
    <x:row r="9">
      <x:c r="A9" s="32" t="str">
        <x:v>tipo_paso</x:v>
      </x:c>
      <x:c r="B9" s="32" t="str">
        <x:v>NO_HACER</x:v>
      </x:c>
      <x:c r="C9" s="32" t="str">
        <x:v>Qué no hacer</x:v>
      </x:c>
      <x:c r="D9" s="32" t="n">
        <x:v>2</x:v>
      </x:c>
      <x:c r="E9" s="32" t="str">
        <x:v>SI</x:v>
      </x:c>
    </x:row>
  </x:sheetData>
  <x:dataValidations count="1">
    <x:dataValidation type="list" sqref="E2:E50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fd20d440c545c1"/>
  </x:tableParts>
</x:worksheet>
</file>